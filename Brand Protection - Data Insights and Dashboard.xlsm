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tables/table1.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D:\Courses &amp; learnings\"/>
    </mc:Choice>
  </mc:AlternateContent>
  <xr:revisionPtr revIDLastSave="0" documentId="13_ncr:1_{C68AB337-3BEC-4D55-8741-F4EDB3F03CCD}" xr6:coauthVersionLast="47" xr6:coauthVersionMax="47" xr10:uidLastSave="{00000000-0000-0000-0000-000000000000}"/>
  <workbookProtection workbookAlgorithmName="SHA-512" workbookHashValue="Mvlk0TK+vnyzgr3E8DiUi4jPK6g2gjzRWlf4oMdg7qg2EQsG0fSaG2s+qXFSZU2FGHFT1II119PCROTX3MrLXw==" workbookSaltValue="zn3ldZvA4NQ63VeqbD/eJg==" workbookSpinCount="100000" lockStructure="1"/>
  <bookViews>
    <workbookView xWindow="-98" yWindow="-98" windowWidth="21795" windowHeight="12975" xr2:uid="{2853161D-F517-4C20-BD8D-20850DF8386C}"/>
  </bookViews>
  <sheets>
    <sheet name="Dashboard" sheetId="7" r:id="rId1"/>
    <sheet name="Tables" sheetId="4" state="hidden" r:id="rId2"/>
    <sheet name="Graphs" sheetId="6" state="hidden" r:id="rId3"/>
    <sheet name="Tracker Sheet" sheetId="1" state="hidden" r:id="rId4"/>
  </sheets>
  <definedNames>
    <definedName name="_xlnm._FilterDatabase" localSheetId="3" hidden="1">'Tracker Sheet'!#REF!</definedName>
    <definedName name="_xlcn.WorksheetConnection_CirrusLogicCaseTracker.xlsxCirrus_Tracker1" hidden="1">Cirrus_Tracker[]</definedName>
    <definedName name="Slicer_Complaint_Status">#N/A</definedName>
    <definedName name="Slicer_Infringement_Type">#N/A</definedName>
    <definedName name="Slicer_Monitoring_month__Month">#N/A</definedName>
    <definedName name="Slicer_POS_Type">#N/A</definedName>
    <definedName name="Slicer_Year">#N/A</definedName>
  </definedNames>
  <calcPr calcId="191028"/>
  <pivotCaches>
    <pivotCache cacheId="197" r:id="rId5"/>
    <pivotCache cacheId="200" r:id="rId6"/>
    <pivotCache cacheId="203" r:id="rId7"/>
    <pivotCache cacheId="206" r:id="rId8"/>
    <pivotCache cacheId="209" r:id="rId9"/>
    <pivotCache cacheId="212" r:id="rId10"/>
    <pivotCache cacheId="215" r:id="rId11"/>
    <pivotCache cacheId="218" r:id="rId12"/>
    <pivotCache cacheId="221" r:id="rId13"/>
    <pivotCache cacheId="224" r:id="rId14"/>
  </pivotCaches>
  <extLst>
    <ext xmlns:x14="http://schemas.microsoft.com/office/spreadsheetml/2009/9/main" uri="{876F7934-8845-4945-9796-88D515C7AA90}">
      <x14:pivotCaches>
        <pivotCache cacheId="13" r:id="rId15"/>
      </x14:pivotCaches>
    </ext>
    <ext xmlns:x14="http://schemas.microsoft.com/office/spreadsheetml/2009/9/main" uri="{BBE1A952-AA13-448e-AADC-164F8A28A991}">
      <x14:slicerCaches>
        <x14:slicerCache r:id="rId16"/>
        <x14:slicerCache r:id="rId17"/>
        <x14:slicerCache r:id="rId18"/>
        <x14:slicerCache r:id="rId19"/>
        <x14:slicerCache r:id="rId2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irrus_Tracker" name="Cirrus_Tracker" connection="WorksheetConnection_Cirrus Logic - Case Tracker.xlsx!Cirrus_Tracker"/>
        </x15:modelTables>
        <x15:extLst>
          <ext xmlns:x16="http://schemas.microsoft.com/office/spreadsheetml/2014/11/main" uri="{9835A34E-60A6-4A7C-AAB8-D5F71C897F49}">
            <x16:modelTimeGroupings>
              <x16:modelTimeGrouping tableName="Cirrus_Tracker" columnName="Monitoring month" columnId="Monitoring month">
                <x16:calculatedTimeColumn columnName="Monitoring month (Year)" columnId="Monitoring month (Year)" contentType="years" isSelected="1"/>
                <x16:calculatedTimeColumn columnName="Monitoring month (Quarter)" columnId="Monitoring month (Quarter)" contentType="quarters" isSelected="1"/>
                <x16:calculatedTimeColumn columnName="Monitoring month (Month Index)" columnId="Monitoring month (Month Index)" contentType="monthsindex" isSelected="1"/>
                <x16:calculatedTimeColumn columnName="Monitoring month (Month)" columnId="Monitoring month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1" i="7" l="1"/>
  <c r="E42" i="4"/>
  <c r="K16" i="7" s="1"/>
  <c r="F42" i="4"/>
  <c r="N16" i="7" s="1"/>
  <c r="E43" i="4"/>
  <c r="K17" i="7" s="1"/>
  <c r="F43" i="4"/>
  <c r="N17" i="7" s="1"/>
  <c r="E44" i="4"/>
  <c r="K18" i="7" s="1"/>
  <c r="F44" i="4"/>
  <c r="N18" i="7" s="1"/>
  <c r="E45" i="4"/>
  <c r="K19" i="7" s="1"/>
  <c r="F45" i="4"/>
  <c r="N19" i="7" s="1"/>
  <c r="E46" i="4"/>
  <c r="K20" i="7" s="1"/>
  <c r="F46" i="4"/>
  <c r="N20" i="7" s="1"/>
  <c r="F41" i="4"/>
  <c r="N15" i="7" s="1"/>
  <c r="E41" i="4"/>
  <c r="K15" i="7" s="1"/>
  <c r="AM7" i="6"/>
  <c r="AP10" i="6" s="1"/>
  <c r="AM8" i="6"/>
  <c r="AP9" i="6" s="1"/>
  <c r="AM9" i="6"/>
  <c r="AP8" i="6" s="1"/>
  <c r="AM10" i="6"/>
  <c r="AP7" i="6" s="1"/>
  <c r="AM11" i="6"/>
  <c r="AP6" i="6" s="1"/>
  <c r="AM6" i="6"/>
  <c r="AP11" i="6" s="1"/>
  <c r="AL7" i="6"/>
  <c r="AO10" i="6" s="1"/>
  <c r="AL8" i="6"/>
  <c r="AO9" i="6" s="1"/>
  <c r="AL9" i="6"/>
  <c r="AO8" i="6" s="1"/>
  <c r="AL10" i="6"/>
  <c r="AO7" i="6" s="1"/>
  <c r="AL11" i="6"/>
  <c r="AO6" i="6" s="1"/>
  <c r="AL6" i="6"/>
  <c r="AO11" i="6" s="1"/>
  <c r="AK7" i="6"/>
  <c r="AN10" i="6" s="1"/>
  <c r="AK8" i="6"/>
  <c r="AN9" i="6" s="1"/>
  <c r="AK9" i="6"/>
  <c r="AN8" i="6" s="1"/>
  <c r="AK10" i="6"/>
  <c r="AN7" i="6" s="1"/>
  <c r="AK11" i="6"/>
  <c r="AN6" i="6" s="1"/>
  <c r="AK6" i="6"/>
  <c r="AN11" i="6" s="1"/>
  <c r="K7" i="6"/>
  <c r="K6" i="6"/>
  <c r="K5" i="6"/>
  <c r="J7" i="6"/>
  <c r="J6" i="6"/>
  <c r="J5" i="6"/>
  <c r="G11" i="7"/>
  <c r="M11" i="7"/>
  <c r="K11" i="7"/>
  <c r="E11" i="7"/>
  <c r="N11" i="7"/>
  <c r="H11" i="7"/>
  <c r="I11" i="7"/>
  <c r="L11" i="7"/>
  <c r="F47" i="4" l="1"/>
  <c r="N21" i="7" s="1"/>
  <c r="J11"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Leslie White</author>
  </authors>
  <commentList>
    <comment ref="AG4" authorId="0" shapeId="0" xr:uid="{77B3D263-5892-49C5-B042-6D148C75FB60}">
      <text>
        <r>
          <rPr>
            <sz val="11"/>
            <color theme="1"/>
            <rFont val="Aptos Narrow"/>
            <family val="2"/>
            <scheme val="minor"/>
          </rPr>
          <t xml:space="preserve">Leslie White: Please send to Cirrus Logic, Inc., 800 W. 6th Street, Austin, Texas 78701.  Attn: Steven Lin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6865061-15B3-4495-B1FF-C3CC416D0299}"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A3C53784-1BA3-4796-B43F-06C1D26F8635}" name="WorksheetConnection_Cirrus Logic - Case Tracker.xlsx!Cirrus_Tracker" type="102" refreshedVersion="8" minRefreshableVersion="5">
    <extLst>
      <ext xmlns:x15="http://schemas.microsoft.com/office/spreadsheetml/2010/11/main" uri="{DE250136-89BD-433C-8126-D09CA5730AF9}">
        <x15:connection id="Cirrus_Tracker" autoDelete="1">
          <x15:rangePr sourceName="_xlcn.WorksheetConnection_CirrusLogicCaseTracker.xlsxCirrus_Tracker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8">
    <s v="ThisWorkbookDataModel"/>
    <s v="{[Cirrus_Tracker].[Complaint Status].[All]}"/>
    <s v="{[Cirrus_Tracker].[Takedown Status].[All]}"/>
    <s v="{[Cirrus_Tracker].[Takedown Status].&amp;[Removed]}"/>
    <s v="{[Cirrus_Tracker].[POS Type].&amp;[Marketplace]}"/>
    <s v="{[Cirrus_Tracker].[POS Type].&amp;[Independent Website]}"/>
    <s v="{[Cirrus_Tracker].[Complaint Status].&amp;[Not Filed]}"/>
    <s v="{[Cirrus_Tracker].[Feedback from ABC Company team].&amp;[Approved to Conduct Test-Purchase]}"/>
  </metadataStrings>
  <mdxMetadata count="7">
    <mdx n="0" f="s">
      <ms ns="1" c="0"/>
    </mdx>
    <mdx n="0" f="s">
      <ms ns="2" c="0"/>
    </mdx>
    <mdx n="0" f="s">
      <ms ns="3" c="0"/>
    </mdx>
    <mdx n="0" f="s">
      <ms ns="4" c="0"/>
    </mdx>
    <mdx n="0" f="s">
      <ms ns="5" c="0"/>
    </mdx>
    <mdx n="0" f="s">
      <ms ns="6" c="0"/>
    </mdx>
    <mdx n="0" f="s">
      <ms ns="7" c="0"/>
    </mdx>
  </mdxMetadata>
  <valueMetadata count="7">
    <bk>
      <rc t="1" v="0"/>
    </bk>
    <bk>
      <rc t="1" v="1"/>
    </bk>
    <bk>
      <rc t="1" v="2"/>
    </bk>
    <bk>
      <rc t="1" v="3"/>
    </bk>
    <bk>
      <rc t="1" v="4"/>
    </bk>
    <bk>
      <rc t="1" v="5"/>
    </bk>
    <bk>
      <rc t="1" v="6"/>
    </bk>
  </valueMetadata>
</metadata>
</file>

<file path=xl/sharedStrings.xml><?xml version="1.0" encoding="utf-8"?>
<sst xmlns="http://schemas.openxmlformats.org/spreadsheetml/2006/main" count="6537" uniqueCount="1594">
  <si>
    <t>Column Labels</t>
  </si>
  <si>
    <t>Filed</t>
  </si>
  <si>
    <t>Not Filed</t>
  </si>
  <si>
    <t>Total Count of Listing ID</t>
  </si>
  <si>
    <t>Total Distinct Count of Seller</t>
  </si>
  <si>
    <t>Count of Listing ID</t>
  </si>
  <si>
    <t>Distinct Count of Seller</t>
  </si>
  <si>
    <t>Approved to Conduct Test-Purchase</t>
  </si>
  <si>
    <t>Row Labels</t>
  </si>
  <si>
    <t>No</t>
  </si>
  <si>
    <t>Yes</t>
  </si>
  <si>
    <t>Grand Total</t>
  </si>
  <si>
    <t>Photos shared; Final decision pending</t>
  </si>
  <si>
    <t>(blank)</t>
  </si>
  <si>
    <t>Complaint Status</t>
  </si>
  <si>
    <t>All</t>
  </si>
  <si>
    <t>Takedown Status</t>
  </si>
  <si>
    <t>Removed</t>
  </si>
  <si>
    <t>Not Filed Reason</t>
  </si>
  <si>
    <t>No. of Listings</t>
  </si>
  <si>
    <t>Inactive prior enforcement</t>
  </si>
  <si>
    <t>Infringement Removed prior to enforcement</t>
  </si>
  <si>
    <t>Authentic Product - Not to be filed</t>
  </si>
  <si>
    <t>POS Type</t>
  </si>
  <si>
    <t>Marketplace</t>
  </si>
  <si>
    <t>Independent Website</t>
  </si>
  <si>
    <t>No. of URLs</t>
  </si>
  <si>
    <t>Infringement Type</t>
  </si>
  <si>
    <t>Total</t>
  </si>
  <si>
    <t>Product Code</t>
  </si>
  <si>
    <t>Platform</t>
  </si>
  <si>
    <t>Values</t>
  </si>
  <si>
    <t>Chart Values</t>
  </si>
  <si>
    <t>Unauthorized use of Copyright image</t>
  </si>
  <si>
    <t>EP9302</t>
  </si>
  <si>
    <t>Made-in-china.com</t>
  </si>
  <si>
    <t>Allelcoelec.com</t>
  </si>
  <si>
    <t>Monitoring month</t>
  </si>
  <si>
    <t>Monitoring month (Month)</t>
  </si>
  <si>
    <t>Monitoring month (Year)</t>
  </si>
  <si>
    <t>Month</t>
  </si>
  <si>
    <t>No. of Sellers</t>
  </si>
  <si>
    <t>Counterfeit - Unrealistic Inventory</t>
  </si>
  <si>
    <t>CS48L32</t>
  </si>
  <si>
    <t>1688.com</t>
  </si>
  <si>
    <t>3achips.com</t>
  </si>
  <si>
    <t>Dec</t>
  </si>
  <si>
    <t>2025</t>
  </si>
  <si>
    <t>Counterfeit - Variation</t>
  </si>
  <si>
    <t>CS8421</t>
  </si>
  <si>
    <t>Alibaba.com</t>
  </si>
  <si>
    <t>Worldwayic.com</t>
  </si>
  <si>
    <t>Nov</t>
  </si>
  <si>
    <t>Unauthorised use of Trademark</t>
  </si>
  <si>
    <t>Active</t>
  </si>
  <si>
    <t>Oct</t>
  </si>
  <si>
    <t>Sep</t>
  </si>
  <si>
    <t>Aug</t>
  </si>
  <si>
    <t>Jul</t>
  </si>
  <si>
    <t>Jun</t>
  </si>
  <si>
    <t>May</t>
  </si>
  <si>
    <t>No. of 
Sellers</t>
  </si>
  <si>
    <t>Test-Purchase Summary</t>
  </si>
  <si>
    <t>Infringement
Identified</t>
  </si>
  <si>
    <t>Infringement
Reported</t>
  </si>
  <si>
    <t>Infringement
Removed</t>
  </si>
  <si>
    <t>Compliance</t>
  </si>
  <si>
    <t>Listings
Not filed</t>
  </si>
  <si>
    <t>Approved for TP</t>
  </si>
  <si>
    <t>Product 
Ordered</t>
  </si>
  <si>
    <t>Product
Received</t>
  </si>
  <si>
    <t>Listing ID</t>
  </si>
  <si>
    <t>Year</t>
  </si>
  <si>
    <t>Platform country</t>
  </si>
  <si>
    <t>Platform group</t>
  </si>
  <si>
    <t>Seller Flagged</t>
  </si>
  <si>
    <t>Repeat Infringer</t>
  </si>
  <si>
    <t>Seller</t>
  </si>
  <si>
    <t>Store URL</t>
  </si>
  <si>
    <t>Seller Business Type</t>
  </si>
  <si>
    <t>Seller address</t>
  </si>
  <si>
    <t>Seller contact info</t>
  </si>
  <si>
    <t>Packmarks</t>
  </si>
  <si>
    <t>Listing URL</t>
  </si>
  <si>
    <t>Item No.</t>
  </si>
  <si>
    <t>Product title</t>
  </si>
  <si>
    <t>Advertised
Price</t>
  </si>
  <si>
    <t>Currency</t>
  </si>
  <si>
    <t>Advertised Price 
(USD)</t>
  </si>
  <si>
    <t>Official Price
(USD)</t>
  </si>
  <si>
    <t>Discount
%</t>
  </si>
  <si>
    <t>Stock (Units)</t>
  </si>
  <si>
    <t>ATX Review Result</t>
  </si>
  <si>
    <t>Risk indicator/Remarks</t>
  </si>
  <si>
    <t>Complaint Draft/Evidence
(PPT Slide Reference)</t>
  </si>
  <si>
    <t>Test buy conducted (Yes/No)</t>
  </si>
  <si>
    <t>Test buy date</t>
  </si>
  <si>
    <t>Test Buy Status</t>
  </si>
  <si>
    <t>Test buy result</t>
  </si>
  <si>
    <t>Complaint Date</t>
  </si>
  <si>
    <t>Complaint ID</t>
  </si>
  <si>
    <t>Takedown Date</t>
  </si>
  <si>
    <t>Next steps</t>
  </si>
  <si>
    <t>ATX remark on next steps</t>
  </si>
  <si>
    <t>L1</t>
  </si>
  <si>
    <t>China</t>
  </si>
  <si>
    <t>HVT, Russian Ties</t>
  </si>
  <si>
    <t>Chip Sun Technology Co., Ltd.</t>
  </si>
  <si>
    <t>https://chinachipsun.en.made-in-china.com/</t>
  </si>
  <si>
    <t>Manufacturer</t>
  </si>
  <si>
    <t>Room 206, Tower B, Taojindi Building, Dalang Street, Shenzhen, Guangdong, China 518109</t>
  </si>
  <si>
    <t>86-13554883678</t>
  </si>
  <si>
    <t>-</t>
  </si>
  <si>
    <t>https://chinachipsun.en.made-in-china.com/product/SQzUrdmbhcWM/China-Chipsun-Best-Service-Electronic-Parts-Audio-Sample-Rate-Converter-2-Channel-20-Tssopcs8421-Czz.html</t>
  </si>
  <si>
    <t>SQzUrdmbhcWM</t>
  </si>
  <si>
    <t>Chipsun Best Service Electronic Parts Audio Sample Rate Converter 2 Channel 20-Tssopcs8421-Czz</t>
  </si>
  <si>
    <t>USD</t>
  </si>
  <si>
    <t>Infringing</t>
  </si>
  <si>
    <t>CS8421 - High inventory</t>
  </si>
  <si>
    <t>Slide 3</t>
  </si>
  <si>
    <t>Approved for filing</t>
  </si>
  <si>
    <t>IPR202509031818558128</t>
  </si>
  <si>
    <t>L2</t>
  </si>
  <si>
    <t>Alibaba group</t>
  </si>
  <si>
    <t>HVT</t>
  </si>
  <si>
    <t>Shenzhen Wanjiacheng Electronic Technology Co., Ltd.</t>
  </si>
  <si>
    <t>https://wanjiacheng.en.alibaba.com</t>
  </si>
  <si>
    <t>Manufacturer, Trading Company, Distributor/Wholesaler</t>
  </si>
  <si>
    <t>Dingcheng Building 1905, Shenzhen, Guangdong, China</t>
  </si>
  <si>
    <t>86-13058167824</t>
  </si>
  <si>
    <t>CS4272</t>
  </si>
  <si>
    <t>https://www.alibaba.com/product-detail/100-Brand-New-and-Original-CS4272_1601185357839.html</t>
  </si>
  <si>
    <t>1601185357839</t>
  </si>
  <si>
    <t>Slide 4</t>
  </si>
  <si>
    <t>Order Cancelled by seller - Reordered same Product with L5 Listing</t>
  </si>
  <si>
    <t>202509031803478329</t>
  </si>
  <si>
    <t>L3</t>
  </si>
  <si>
    <t>Shenzhen E-Tansense Technology Co., Ltd.</t>
  </si>
  <si>
    <t>https://szets.en.alibaba.com</t>
  </si>
  <si>
    <t>Trading Company, Agent, Distributor/Wholesaler</t>
  </si>
  <si>
    <t>1301, Block B, Huaqiangbei Jiahe Plaza, Shenzhen, Guangdong, China</t>
  </si>
  <si>
    <t>86-13430878720</t>
  </si>
  <si>
    <t>CS5340</t>
  </si>
  <si>
    <t>62107884285</t>
  </si>
  <si>
    <t>Slide 5</t>
  </si>
  <si>
    <t>Shipment in process (Tracking No. - 885092642807, Service - FedEx International Priority)</t>
  </si>
  <si>
    <t>L4</t>
  </si>
  <si>
    <t>Shenzhen Emi Technology Co., Ltd.</t>
  </si>
  <si>
    <t>https://emi-ic.en.alibaba.com</t>
  </si>
  <si>
    <t>Trading Company</t>
  </si>
  <si>
    <t>Room 2401, Building 4, Tian 'an Yungu Phase Ii, Bantian Street, Shenzhen, Guangdong, China</t>
  </si>
  <si>
    <t>86-18975293612</t>
  </si>
  <si>
    <t>1601017115051</t>
  </si>
  <si>
    <t>Infringing - TM use in title, providing customized logo or name on product</t>
  </si>
  <si>
    <t>Slide 6</t>
  </si>
  <si>
    <t>202509031759558327</t>
  </si>
  <si>
    <t>L5</t>
  </si>
  <si>
    <t>1601185336834</t>
  </si>
  <si>
    <t>Variation in print</t>
  </si>
  <si>
    <t>Slide 7</t>
  </si>
  <si>
    <t>Order not delivered;seller is not responding to our messages, and listing has now become Inactive; Initiated Refund</t>
  </si>
  <si>
    <t>L6</t>
  </si>
  <si>
    <t>1601185303889</t>
  </si>
  <si>
    <t>Slide 8</t>
  </si>
  <si>
    <t>Change in Complaint Draft Language - Awaiting Client Confirmation</t>
  </si>
  <si>
    <t>L7</t>
  </si>
  <si>
    <t>https://chinachipsun.en.made-in-china.com/product/YnzrbPETjVkf/China-Chipsun-Good-Quality-Electronic-Parts-CS8421-Czz.html</t>
  </si>
  <si>
    <t>YnzrbPETjVkf</t>
  </si>
  <si>
    <t>Chipsun Good Quality Electronic Parts CS8421-Czz</t>
  </si>
  <si>
    <t>TM in des., High Inventory</t>
  </si>
  <si>
    <t>Slide 9</t>
  </si>
  <si>
    <t xml:space="preserve">IPR202510031415389236 </t>
  </si>
  <si>
    <t>L8</t>
  </si>
  <si>
    <t xml:space="preserve">https://chinachipsun.en.made-in-china.com/product/nEgUYZQdgchj/China-Chipsun-Best-Quality-IC-Sample-Rate-Converter-20tssop-CS8421-Czz-Electronic-Parts.html </t>
  </si>
  <si>
    <t>nEgUYZQdgchj</t>
  </si>
  <si>
    <t>Chipsun Best Quality IC Sample Rate Converter 20tssop CS8421-Czz Electronic Parts</t>
  </si>
  <si>
    <t>L9</t>
  </si>
  <si>
    <t>https://chinachipsun.en.made-in-china.com/product/umzUEvGKuhkx/China-Chipsun-Good-Quality-Electronic-CS8421-Czz-Integrated-Circuits-Audio-Special-Purpose.html</t>
  </si>
  <si>
    <t>umzUEvGKuhkx</t>
  </si>
  <si>
    <t>Chipsun Good Quality Electronic CS8421 Czz Integrated Circuits Audio Special Purpose</t>
  </si>
  <si>
    <t>Slide 10</t>
  </si>
  <si>
    <t xml:space="preserve">IPR202510031421593352 </t>
  </si>
  <si>
    <t>L10</t>
  </si>
  <si>
    <t>https://chinachipsun.en.made-in-china.com/product/HnSUujKPAVkX/China-Chipsun-Fastest-Shipping-Electronic-Component-CS8421-Czz-Audio-Special-Purpose.html</t>
  </si>
  <si>
    <t>HnSUujKPAVkX</t>
  </si>
  <si>
    <t>Chipsun Fastest Shipping Electronic Component CS8421 Czz Audio Special Purpose</t>
  </si>
  <si>
    <t>L11</t>
  </si>
  <si>
    <t>https://chinachipsun.en.made-in-china.com/product/cnvrLpSKZVkb/China-Chipsun-Cheap-Electronic-Parts-IC-Sample-Rate-Converter-20tssop-CS8421-Czz.html</t>
  </si>
  <si>
    <t>cnvrLpSKZVkb</t>
  </si>
  <si>
    <t>Chipsun Cheap Electronic Parts IC Sample Rate Converter 20tssop CS8421-Czz</t>
  </si>
  <si>
    <t>L12</t>
  </si>
  <si>
    <t>https://chinachipsun.en.made-in-china.com/product/qQurUWmDOhcB/China-Chipsun-Most-Popular-CS8421-Czz-Sample-Rate-Converter-Electronic-Parts.html</t>
  </si>
  <si>
    <t>qQurUWmDOhcB</t>
  </si>
  <si>
    <t>Chipsun Most Popular CS8421-Czz Sample Rate Converter Electronic Parts</t>
  </si>
  <si>
    <t>L13</t>
  </si>
  <si>
    <t>https://chinachipsun.en.made-in-china.com/product/vQBYnJSAJcWq/China-Chipsun-Cheapest-Price-Electronic-Components-CS8421-Czz.html</t>
  </si>
  <si>
    <t>vQBYnJSAJcWq</t>
  </si>
  <si>
    <t>Chipsun Cheapest Price Electronic Components CS8421-Czz</t>
  </si>
  <si>
    <t>L14</t>
  </si>
  <si>
    <t>https://chinachipsun.en.made-in-china.com/product/pxSYnEvyHkWj/China-Chipsun-Integrated-Circuit-Best-Service-CS8421-Czz-Digital-Audio-Interfacing.html</t>
  </si>
  <si>
    <t>pxSYnEvyHkWj</t>
  </si>
  <si>
    <t>Chipsun Integrated Circuit Best Service CS8421-Czz Digital Audio Interfacing</t>
  </si>
  <si>
    <t>Slide 11</t>
  </si>
  <si>
    <t xml:space="preserve">IPR202510031423451408 </t>
  </si>
  <si>
    <t>L15</t>
  </si>
  <si>
    <t>https://chinachipsun.en.made-in-china.com/product/cmKUnMvEhhkj/China-Chipsun-Fastest-Shipping-Integrated-Circuit-Sample-Rate-Converter-CS8421-Czz.html</t>
  </si>
  <si>
    <t>cmKUnMvEhhkj</t>
  </si>
  <si>
    <t>Chipsun Fastest Shipping Integrated Circuit Sample Rate Converter CS8421-Czz</t>
  </si>
  <si>
    <t>Slide 12</t>
  </si>
  <si>
    <t xml:space="preserve">IPR202510031420097478 </t>
  </si>
  <si>
    <t>L16</t>
  </si>
  <si>
    <t>https://chinachipsun.en.made-in-china.com/product/FEPUdOmCSWcw/China-Chipsun-Electronic-Components-The-Fastest-Lead-Time-IC-Sample-Rate-Converter-CS8421-Czz.html</t>
  </si>
  <si>
    <t>FEPUdOmCSWcw</t>
  </si>
  <si>
    <t>Chipsun Electronic Components The Fastest Lead Time IC Sample Rate Converter CS8421-Czz</t>
  </si>
  <si>
    <t>L17</t>
  </si>
  <si>
    <t>Shenzhen Xinda Microelectronics Technology Co., Ltd.</t>
  </si>
  <si>
    <t>https://cindamicro.en.alibaba.com</t>
  </si>
  <si>
    <t>9C, Jindu, 100 Building, Dudu, Huaqiang North Street, Shenzhen, Guangdong, China</t>
  </si>
  <si>
    <t>CS4208</t>
  </si>
  <si>
    <t>https://www.alibaba.com/product-detail/Cs4208-Sound-Card-Chip-Ic-Cs4208_1600088294511.html</t>
  </si>
  <si>
    <t>1600088294511</t>
  </si>
  <si>
    <t>Cs4208 Sound Card Chip Ic Cs4208-crz - Buy Cs4208-crz cs4208 cs4208 Sound Card Chip Ic Cs4208-crz Product on Alibaba.com</t>
  </si>
  <si>
    <t>Discontinued Product, High Inventory</t>
  </si>
  <si>
    <t>202510091437300067</t>
  </si>
  <si>
    <t>L18</t>
  </si>
  <si>
    <t>Shenzhen Fujiacheng Electronic Co., Ltd.</t>
  </si>
  <si>
    <t>https://abesttrade.en.alibaba.com</t>
  </si>
  <si>
    <t>18e, Building B, World Trade Square, No. 9, Fuhong Road, Shenzhen, Guangdong, China</t>
  </si>
  <si>
    <t>0086-0755-83047944</t>
  </si>
  <si>
    <t>EP7312</t>
  </si>
  <si>
    <t>https://www.alibaba.com/product-detail/EP7312-IVZ-IC-MPU-EP7-74MHZ_1601007993759.html</t>
  </si>
  <si>
    <t>1601007993759</t>
  </si>
  <si>
    <t>EP7312-IVZ IC MPU EP7 74MHZ 208LQFP</t>
  </si>
  <si>
    <t>202510211242238847</t>
  </si>
  <si>
    <t>L19</t>
  </si>
  <si>
    <t>Shenzhen Qihuawei Tech Co., Ltd.</t>
  </si>
  <si>
    <t>https://qihuawei.en.alibaba.com</t>
  </si>
  <si>
    <t>Trading Company, Other</t>
  </si>
  <si>
    <t>New Generation international apartment A2329, Dongbin Road, Nanhai Avenue, Shenzhen, Guangdong, China</t>
  </si>
  <si>
    <t>86-0755-3830879</t>
  </si>
  <si>
    <t>CS5361</t>
  </si>
  <si>
    <t xml:space="preserve">YFAAEXOY1747 </t>
  </si>
  <si>
    <t>https://www.alibaba.com/product-detail/New-and-Original-IC-Chip-in_1601345852824.html</t>
  </si>
  <si>
    <t>1601345852824</t>
  </si>
  <si>
    <t>New and Original IC Chip in Stock CS5361-KSZ Electronic Component</t>
  </si>
  <si>
    <t>High Inventory, High Discount, Most of the official distributor have no stock of the product</t>
  </si>
  <si>
    <t>Seller denied order stating the product is out of stock.</t>
  </si>
  <si>
    <t>Authentix has reached out to seller asking for product availability.</t>
  </si>
  <si>
    <t>L20</t>
  </si>
  <si>
    <t>Vicko Electronics Technology Co., Limited</t>
  </si>
  <si>
    <t>https://vicko.en.alibaba.com</t>
  </si>
  <si>
    <t>19k, Block D, Huaqiang Plaza, North Huaqiang, Shenzhen, Guangdong, China</t>
  </si>
  <si>
    <t>86-0755-82514990</t>
  </si>
  <si>
    <t>CS4525</t>
  </si>
  <si>
    <t>https://www.alibaba.com/product-detail/Linear-CS4525-CNZ-48-QFN-Electronic_1601438837138.html</t>
  </si>
  <si>
    <t>1601438837138</t>
  </si>
  <si>
    <t>Linear CS4525-CNZ 48 QFN Electronic Circuit Components Original</t>
  </si>
  <si>
    <t>Discontinued Product, Low Price, High Inventory</t>
  </si>
  <si>
    <t>L21</t>
  </si>
  <si>
    <t>Shenzhen MINCONDA Technology Co., Ltd.</t>
  </si>
  <si>
    <t>https://minconda.en.alibaba.com</t>
  </si>
  <si>
    <t>Manufacturer, Trading Company</t>
  </si>
  <si>
    <t>4B-06, Shenzhen, Guangdong, China</t>
  </si>
  <si>
    <t>86-0755-15814003523</t>
  </si>
  <si>
    <t>https://www.alibaba.com/product-detail/-Microprocessors-EP9302-IQZ_1600743656909.html</t>
  </si>
  <si>
    <t>1600743656909</t>
  </si>
  <si>
    <t>(Microprocessors) EP9302-IQZ</t>
  </si>
  <si>
    <t>Discontinued Product, Low Price, Customization in print</t>
  </si>
  <si>
    <t>L22</t>
  </si>
  <si>
    <t>https://www.alibaba.com/product-detail/CS4525-CNZR-48-QFN-Linear-Electronic_1601438716984.html</t>
  </si>
  <si>
    <t>1601438716984</t>
  </si>
  <si>
    <t>CS4525-CNZR 48 QFN Linear Electronic Circuit Components Original</t>
  </si>
  <si>
    <t>L23</t>
  </si>
  <si>
    <t>CS42L55</t>
  </si>
  <si>
    <t>https://www.alibaba.com/product-detail/Interface-IC-CODEC-STER-H-HDPN_1601419005707.html</t>
  </si>
  <si>
    <t>1601419005707</t>
  </si>
  <si>
    <t>Interface IC CODEC STER H-HDPN AMP 36-QFN CS42L55-CNZR Electronic Components One-Stop Order</t>
  </si>
  <si>
    <t>L24</t>
  </si>
  <si>
    <t>https://www.alibaba.com/product-detail/Linear-IC-AMP-D-DUAL-QUAD_1601418991588.html</t>
  </si>
  <si>
    <t>1601418991588</t>
  </si>
  <si>
    <t>Linear IC AMP D DUAL/QUAD 30W 48QFN CS4525-CNZR Electronic Components Supplies</t>
  </si>
  <si>
    <t>L25</t>
  </si>
  <si>
    <t>https://www.alibaba.com/product-detail/-IC-COMPONENTS-EP9302-IQZ_1600554295759.html</t>
  </si>
  <si>
    <t>1600554295759</t>
  </si>
  <si>
    <t>(IC COMPONENTS) EP9302-IQZ</t>
  </si>
  <si>
    <t>L26</t>
  </si>
  <si>
    <t>https://www.alibaba.com/product-detail/EP9302-IQZ-IC-MPU-EP9-200MHZ_1601008064495.html</t>
  </si>
  <si>
    <t>1601008064495</t>
  </si>
  <si>
    <t>EP9302-IQZ IC MPU EP9 200MHZ 208LQFP</t>
  </si>
  <si>
    <t>L27</t>
  </si>
  <si>
    <t>https://www.alibaba.com/product-detail/Linear-IC-AMP-D-DUAL-QUAD_1601418996518.html</t>
  </si>
  <si>
    <t>1601418996518</t>
  </si>
  <si>
    <t>Linear IC AMP D DUAL/QUAD 30W 48QFN CS4525-CNZ Electronics Components Set</t>
  </si>
  <si>
    <t>EUR</t>
  </si>
  <si>
    <t>L28</t>
  </si>
  <si>
    <t>CS47048</t>
  </si>
  <si>
    <t>https://www.alibaba.com/product-detail/CS47048C-CQZ-IC-AUDIO-SOC-SGL_1601011642815.html</t>
  </si>
  <si>
    <t>1601011642815</t>
  </si>
  <si>
    <t>CS47048C-CQZ IC AUDIO SOC SGL 32BIT 100-LQFP</t>
  </si>
  <si>
    <t>L29</t>
  </si>
  <si>
    <t>https://www.alibaba.com/product-detail/CS48L32-CNZR-LOW-POWER-VOICE-DSP_1601011723436.html</t>
  </si>
  <si>
    <t>1601011723436</t>
  </si>
  <si>
    <t>CS48L32-CNZR LOW POWER VOICE DSP QFN</t>
  </si>
  <si>
    <t>L30</t>
  </si>
  <si>
    <t>https://www.alibaba.com/product-detail/-Embedded-DSP-Digital-SignalProcessors-CS47048C_1601005717390.html</t>
  </si>
  <si>
    <t>1601005717390</t>
  </si>
  <si>
    <t>(Embedded DSP (Digital SignalProcessors)) CS47048C-CQZ</t>
  </si>
  <si>
    <t>L31</t>
  </si>
  <si>
    <t>https://www.alibaba.com/product-detail/-Embedded-DSP-Digital-SignalProcessors-CS48L32_1601005752066.html</t>
  </si>
  <si>
    <t>1601005752066</t>
  </si>
  <si>
    <t>(Embedded DSP (Digital SignalProcessors)) CS48L32-CNZ</t>
  </si>
  <si>
    <t>L32</t>
  </si>
  <si>
    <t>https://www.alibaba.com/product-detail/-IC-COMPONENTS-CS47048C-CQZ_1600543696986.html</t>
  </si>
  <si>
    <t>1600543696986</t>
  </si>
  <si>
    <t>(IC COMPONENTS) CS47048C-CQZ</t>
  </si>
  <si>
    <t>L33</t>
  </si>
  <si>
    <t>Worldwayic</t>
  </si>
  <si>
    <t>https://Worldwayic.com/</t>
  </si>
  <si>
    <t>Distributor</t>
  </si>
  <si>
    <t>Worldway Electronics Limited 17/F,Building 1,KinHo Ind Bldg, No 14-24 Au Pui Wan Street, Shatin,N.T, 999077, HongKong</t>
  </si>
  <si>
    <t>00852-69348295</t>
  </si>
  <si>
    <t>CS35L41B</t>
  </si>
  <si>
    <t>Worldwayic.com12484088</t>
  </si>
  <si>
    <t>NA</t>
  </si>
  <si>
    <t>L34</t>
  </si>
  <si>
    <t>Origin-ic.com</t>
  </si>
  <si>
    <t>Origin-ic</t>
  </si>
  <si>
    <t>https://www.origin-ic.com/</t>
  </si>
  <si>
    <t>15F, Hangdu Bldg,No.1006 Huafu Road, Shenzhen, China</t>
  </si>
  <si>
    <t>86-0755-83667719</t>
  </si>
  <si>
    <t>YFAABXEC2222</t>
  </si>
  <si>
    <t>https://www.origin-ic.com/products/detail/CS4272-CZZR/36682</t>
  </si>
  <si>
    <t>Origin-ic.com36682</t>
  </si>
  <si>
    <t>High Inventory, High Discount Offered</t>
  </si>
  <si>
    <t>Product Received by ATX China Team</t>
  </si>
  <si>
    <t>L35</t>
  </si>
  <si>
    <t>3achips</t>
  </si>
  <si>
    <t>https://3achips.com/</t>
  </si>
  <si>
    <t>Unit 616, 5/F., Kam Teem Industrial Building, 135 Connaught Road West, Sai Wan Hong Kong</t>
  </si>
  <si>
    <t>86-0755-82573246</t>
  </si>
  <si>
    <t>YFAABXEJ2225</t>
  </si>
  <si>
    <t>https://www.3achips.com/p/2724902</t>
  </si>
  <si>
    <t>3achips.com2724902</t>
  </si>
  <si>
    <t>CS4272-CZZR</t>
  </si>
  <si>
    <t>L36</t>
  </si>
  <si>
    <t>Seektronics.com</t>
  </si>
  <si>
    <t>Seektronics</t>
  </si>
  <si>
    <t>https://Seektronics.com/</t>
  </si>
  <si>
    <t>flat/rm 803 chevalier house 45-51 Chatham Rd S, Tsim Sha Tsui, Hong Kong</t>
  </si>
  <si>
    <t>00852-82261016</t>
  </si>
  <si>
    <t>CS5530</t>
  </si>
  <si>
    <t>A0JR2515</t>
  </si>
  <si>
    <t>https://www.seektronics.com/index.php?route=product/product&amp;manufacturer_id=58&amp;product_id=23804</t>
  </si>
  <si>
    <t>Seektronics.com23804</t>
  </si>
  <si>
    <t>L37</t>
  </si>
  <si>
    <t>Shenzhen Caiyusheng Electronics Co., Ltd.</t>
  </si>
  <si>
    <t>https://caiyusheng.en.alibaba.com</t>
  </si>
  <si>
    <t>Manufacturer, Agent, Distributor/Wholesaler</t>
  </si>
  <si>
    <t>13B Block C, Huaqiang Plaza, Shenzhen, Guangdong, China</t>
  </si>
  <si>
    <t>86-0755-82520000</t>
  </si>
  <si>
    <t>CS8416</t>
  </si>
  <si>
    <t>YFBADXAR0421</t>
  </si>
  <si>
    <t>https://www.alibaba.com/product-detail/AUDIO-IC-192KHZ-TSSOP28-CS8416-CZZR_60764616329.html</t>
  </si>
  <si>
    <t>60764616329</t>
  </si>
  <si>
    <t>AUDIO IC 192KHZ TSSOP28 CS8416-CZZR CS8416</t>
  </si>
  <si>
    <t xml:space="preserve">High Inventory - 10000 PCS per day,  High Discount – 99% </t>
  </si>
  <si>
    <t xml:space="preserve">Initiated chat with seller - Awaiting their response
</t>
  </si>
  <si>
    <t>L38</t>
  </si>
  <si>
    <t>Shenzhen Dianxian Technology Co., Ltd.</t>
  </si>
  <si>
    <t>https://chinaicchip.en.alibaba.com</t>
  </si>
  <si>
    <t>customized on demand, sample processing, graphic processing</t>
  </si>
  <si>
    <t>17e Hangdu Building , Huaqiangbei Street, Shenzhen, Guangdong, China</t>
  </si>
  <si>
    <t>86-0755-88605913</t>
  </si>
  <si>
    <t>YFAAEXOY1747</t>
  </si>
  <si>
    <t>https://www.alibaba.com/product-detail/New-and-Original-IC-Chip-in_1601202125853.html</t>
  </si>
  <si>
    <t>1601202125853</t>
  </si>
  <si>
    <t>Blurred Logo,  High inventory -  5000 High Discount – 90%</t>
  </si>
  <si>
    <t>L39</t>
  </si>
  <si>
    <t>Shantou Xinjing Microelectronics Co., Ltd.</t>
  </si>
  <si>
    <t>https://xinjingwei.en.alibaba.com</t>
  </si>
  <si>
    <t>B72, 2nd Floor, Guangdong Electronic City, Shantou, Guangdong, China</t>
  </si>
  <si>
    <t>86-0754-15766996433</t>
  </si>
  <si>
    <t>https://www.alibaba.com/product-detail/New-and-Original-IC-Chip-in_1601457256690.html</t>
  </si>
  <si>
    <t>1601457256690</t>
  </si>
  <si>
    <t>Blurred Logo,  High Discount – 98%</t>
  </si>
  <si>
    <t>L40</t>
  </si>
  <si>
    <t>Shenzhen Ketao Zhengpin Electronics Co., Ltd.</t>
  </si>
  <si>
    <t>https://ktzp.en.alibaba.com</t>
  </si>
  <si>
    <t>Trading Company, Buying Office, Agent, Distributor/Wholesaler</t>
  </si>
  <si>
    <t>707, Building E, Fumin Building, Futian Street, Shenzhen, Guangdong, China</t>
  </si>
  <si>
    <t>YFAAEXGL1443</t>
  </si>
  <si>
    <t>https://www.alibaba.com/product-detail/KtzpCS5361-KSZ-KS-SOP-24-New_1601517930120.html</t>
  </si>
  <si>
    <t>1601517930120</t>
  </si>
  <si>
    <t>KtzpCS5361 -KSZ -KS SOP-24 New Original Genuine Brand High Quality Brand Chip</t>
  </si>
  <si>
    <t>Blurred Logo,  High Discount – 84%</t>
  </si>
  <si>
    <t>L41</t>
  </si>
  <si>
    <t>Shenzhen Semilotec Co., Ltd.</t>
  </si>
  <si>
    <t>https://semilotec.en.made-in-china.com/</t>
  </si>
  <si>
    <t xml:space="preserve">Rm407, No. 103, Lijia Road, Henggang Street, Longgang District, 518115, Shenzhen, Guangdong, China 518112 </t>
  </si>
  <si>
    <t>86-18665865883</t>
  </si>
  <si>
    <t>CS8900A</t>
  </si>
  <si>
    <t>https://semilotec.en.made-in-china.com/product/dYqpNtvPEaVj/China-new-original-CS8900A-CQ3Z-CS8900A-CQ3ZR-CS8900A-LAN-ETHERNET-CONTROLLER-IC.html</t>
  </si>
  <si>
    <t>dYqpNtvPEaVj</t>
  </si>
  <si>
    <t>new original CS8900A-CQ3Z CS8900A-CQ3ZR CS8900A LAN ETHERNET CONTROLLER IC</t>
  </si>
  <si>
    <t>Discontinued Product, High Inventory –  1000000 PCS</t>
  </si>
  <si>
    <t>L42</t>
  </si>
  <si>
    <t>Shenzhen Gaogang Electronics Co., Ltd</t>
  </si>
  <si>
    <t>http://shop1440757063554.1688.com/</t>
  </si>
  <si>
    <t>CS3310</t>
  </si>
  <si>
    <t>DXJM1603</t>
  </si>
  <si>
    <t>https://detail.1688.com/offer/649457197176.html</t>
  </si>
  <si>
    <t>649457197176</t>
  </si>
  <si>
    <t>CNY</t>
  </si>
  <si>
    <t>L43</t>
  </si>
  <si>
    <t>Shenzhen Futian District Huaqiang Electronic World New Hongjian Electronic Commercial Bank</t>
  </si>
  <si>
    <t>http://cnxhjdz.1688.com/</t>
  </si>
  <si>
    <t>CS4361</t>
  </si>
  <si>
    <t>WX2149</t>
  </si>
  <si>
    <t>https://detail.1688.com/offer/39568871566.html</t>
  </si>
  <si>
    <t>39568871566</t>
  </si>
  <si>
    <t>L44</t>
  </si>
  <si>
    <t>CS42L52</t>
  </si>
  <si>
    <t>B1JZ1144</t>
  </si>
  <si>
    <t>https://detail.1688.com/offer/39596105237.html</t>
  </si>
  <si>
    <t>39596105237</t>
  </si>
  <si>
    <t>L45</t>
  </si>
  <si>
    <t>CS42L51</t>
  </si>
  <si>
    <t>AJ0614</t>
  </si>
  <si>
    <t>https://detail.1688.com/offer/39597400116.html</t>
  </si>
  <si>
    <t>39597400116</t>
  </si>
  <si>
    <t>L46</t>
  </si>
  <si>
    <t>0748</t>
  </si>
  <si>
    <t>https://detail.1688.com/offer/39622072520.html</t>
  </si>
  <si>
    <t>39622072520</t>
  </si>
  <si>
    <t>We are currently initiating contact with the seller</t>
  </si>
  <si>
    <t>L47</t>
  </si>
  <si>
    <t>YFWABHXN1142</t>
  </si>
  <si>
    <t>https://detail.1688.com/offer/39655025343.html</t>
  </si>
  <si>
    <t>39655025343</t>
  </si>
  <si>
    <t>L48</t>
  </si>
  <si>
    <t>CS5460</t>
  </si>
  <si>
    <t>NADXQT1239</t>
  </si>
  <si>
    <t>https://detail.1688.com/offer/39663524728.html</t>
  </si>
  <si>
    <t>39663524728</t>
  </si>
  <si>
    <t>L49</t>
  </si>
  <si>
    <t>深圳市高冈电子有限公司</t>
  </si>
  <si>
    <t>CS4334</t>
  </si>
  <si>
    <t>PXG0142</t>
  </si>
  <si>
    <t>https://detail.1688.com/offer/648985852939.html</t>
  </si>
  <si>
    <t>648985852939</t>
  </si>
  <si>
    <t>L50</t>
  </si>
  <si>
    <t>Shenzhen Hongxingrui Technology Co., Ltd</t>
  </si>
  <si>
    <t>http://shop899mu6j094797.1688.com/</t>
  </si>
  <si>
    <t>CS5368</t>
  </si>
  <si>
    <t>https://detail.1688.com/offer/681826572525.html</t>
  </si>
  <si>
    <t>681826572525</t>
  </si>
  <si>
    <t>L51</t>
  </si>
  <si>
    <t>Shenzhen Yixun Electronic Technology Co., Ltd</t>
  </si>
  <si>
    <t>http://shop755770174lo56.1688.com/</t>
  </si>
  <si>
    <t>WM9714CLGEFL</t>
  </si>
  <si>
    <t>87AZHUD</t>
  </si>
  <si>
    <t>https://detail.1688.com/offer/719916304056.html</t>
  </si>
  <si>
    <t>719916304056</t>
  </si>
  <si>
    <t>L52</t>
  </si>
  <si>
    <t>WM8804GEDS</t>
  </si>
  <si>
    <t>81A81DW</t>
  </si>
  <si>
    <t>https://detail.1688.com/offer/720126333985.html</t>
  </si>
  <si>
    <t>720126333985</t>
  </si>
  <si>
    <t>L53</t>
  </si>
  <si>
    <t>WM8758CBGEFL</t>
  </si>
  <si>
    <t>77BIMGT</t>
  </si>
  <si>
    <t>https://detail.1688.com/offer/720259638684.html</t>
  </si>
  <si>
    <t>720259638684</t>
  </si>
  <si>
    <t>L54</t>
  </si>
  <si>
    <t>WM8960CGEFL</t>
  </si>
  <si>
    <t>6ACOPDR</t>
  </si>
  <si>
    <t>https://detail.1688.com/offer/720448515141.html</t>
  </si>
  <si>
    <t>720448515141</t>
  </si>
  <si>
    <t>L55</t>
  </si>
  <si>
    <t>WAB0VW2133</t>
  </si>
  <si>
    <t>https://detail.1688.com/offer/720458355887.html</t>
  </si>
  <si>
    <t>720458355887</t>
  </si>
  <si>
    <t>L56</t>
  </si>
  <si>
    <t>WM9713CLGEFL</t>
  </si>
  <si>
    <t>78A8YTM</t>
  </si>
  <si>
    <t>https://detail.1688.com/offer/720487911932.html</t>
  </si>
  <si>
    <t>720487911932</t>
  </si>
  <si>
    <t>L57</t>
  </si>
  <si>
    <t>Worldwayic.com3727473</t>
  </si>
  <si>
    <t>L58</t>
  </si>
  <si>
    <t>Worldwayic.com12178401</t>
  </si>
  <si>
    <t>L59</t>
  </si>
  <si>
    <t>CS091228</t>
  </si>
  <si>
    <t>Worldwayic.com3727474</t>
  </si>
  <si>
    <t>L60</t>
  </si>
  <si>
    <t>Worldwayic.com3727475</t>
  </si>
  <si>
    <t>L61</t>
  </si>
  <si>
    <t>Worldwayic.com13988796</t>
  </si>
  <si>
    <t>L62</t>
  </si>
  <si>
    <t>CS5510</t>
  </si>
  <si>
    <t>Worldwayic.com14087097</t>
  </si>
  <si>
    <t>L63</t>
  </si>
  <si>
    <t>CS3318</t>
  </si>
  <si>
    <t>Worldwayic.com14087409</t>
  </si>
  <si>
    <t>L64</t>
  </si>
  <si>
    <t>CS44600</t>
  </si>
  <si>
    <t>Worldwayic.com14087410</t>
  </si>
  <si>
    <t>L65</t>
  </si>
  <si>
    <t>WM7132PIMSE/RV</t>
  </si>
  <si>
    <t>Worldwayic.com14110457</t>
  </si>
  <si>
    <t>L66</t>
  </si>
  <si>
    <t>WM7331IMSE/RV</t>
  </si>
  <si>
    <t>Worldwayic.com14110470</t>
  </si>
  <si>
    <t>L67</t>
  </si>
  <si>
    <t>Worldwayic.com14110492</t>
  </si>
  <si>
    <t>L68</t>
  </si>
  <si>
    <t>Worldwayic.com14110554</t>
  </si>
  <si>
    <t>L69</t>
  </si>
  <si>
    <t>CS61884</t>
  </si>
  <si>
    <t>Worldwayic.com14110624</t>
  </si>
  <si>
    <t>L70</t>
  </si>
  <si>
    <t>Worldwayic.com14110677</t>
  </si>
  <si>
    <t>L71</t>
  </si>
  <si>
    <t>Worldwayic.com14110723</t>
  </si>
  <si>
    <t>L72</t>
  </si>
  <si>
    <t>Worldwayic.com14110727</t>
  </si>
  <si>
    <t>L73</t>
  </si>
  <si>
    <t>Worldwayic.com14110749</t>
  </si>
  <si>
    <t>L74</t>
  </si>
  <si>
    <t>CS3511</t>
  </si>
  <si>
    <t>Worldwayic.com14110750</t>
  </si>
  <si>
    <t>L75</t>
  </si>
  <si>
    <t>Worldwayic.com14110768</t>
  </si>
  <si>
    <t>L76</t>
  </si>
  <si>
    <t>CS53L30</t>
  </si>
  <si>
    <t>Worldwayic.com14110856</t>
  </si>
  <si>
    <t>L77</t>
  </si>
  <si>
    <t>CS53L32A</t>
  </si>
  <si>
    <t>Worldwayic.com14110885</t>
  </si>
  <si>
    <t>L78</t>
  </si>
  <si>
    <t>CS4335</t>
  </si>
  <si>
    <t>Worldwayic.com14110936</t>
  </si>
  <si>
    <t>L79</t>
  </si>
  <si>
    <t>CS4213D</t>
  </si>
  <si>
    <t>Worldwayic.com14110971</t>
  </si>
  <si>
    <t>L80</t>
  </si>
  <si>
    <t>Worldwayic.com14110988</t>
  </si>
  <si>
    <t>L81</t>
  </si>
  <si>
    <t>Shenzhen Longgang Ruru Trading Firm</t>
  </si>
  <si>
    <t>https://rurutrade.en.alibaba.com</t>
  </si>
  <si>
    <t>World Trading Square 18e, Shenzhen, Guangdong, China</t>
  </si>
  <si>
    <t>https://www.alibaba.com/product-detail/CS48L32-CNZR-BOM-LOW-POWER-VOICE_1601219344777.html</t>
  </si>
  <si>
    <t>1601219344777</t>
  </si>
  <si>
    <t>CS48L32-CNZR BOM LOW POWER VOICE DSP QFN CS48L32-CNZR</t>
  </si>
  <si>
    <t>High Inventory, High Discount</t>
  </si>
  <si>
    <t>L82</t>
  </si>
  <si>
    <t>Dongguan Shijie Chipin Electronic Trading Firm</t>
  </si>
  <si>
    <t>https://chipin.en.alibaba.com</t>
  </si>
  <si>
    <t>18e, Building B, World Trade Square, Shenzhen, Guangdong, China</t>
  </si>
  <si>
    <t>https://www.alibaba.com/product-detail/CS48L32-CNZR-BOM-Service-LOW-POWER_1600763556997.html</t>
  </si>
  <si>
    <t>1600763556997</t>
  </si>
  <si>
    <t>CS48L32-CNZR BOM Service LOW POWER VOICE DSP QFN CS48L32-CNZR</t>
  </si>
  <si>
    <t>L83</t>
  </si>
  <si>
    <t>Shenzhen Yeyang Technology Co., Ltd.</t>
  </si>
  <si>
    <t>https://icyeahyoung.en.alibaba.com</t>
  </si>
  <si>
    <t>Trading Company, Distributor/Wholesaler, Other</t>
  </si>
  <si>
    <t>Room 610-710, Dingcheng International Building, No. 7, Zhonghang Road, Shenzhen, Guangdong, China</t>
  </si>
  <si>
    <t>86-0755-82517390</t>
  </si>
  <si>
    <t>https://www.alibaba.com/product-detail/CS48L32-CNZR-LOW-POWER-VOICE-DSP_1601430903300.html</t>
  </si>
  <si>
    <t>1601430903300</t>
  </si>
  <si>
    <t>CS48L32-CNZR LOW POWER VOICE DSP QFN CS48L32</t>
  </si>
  <si>
    <t>High Discount</t>
  </si>
  <si>
    <t>L84</t>
  </si>
  <si>
    <t>Shanghai Gawin Electronic Technology Co., Ltd.</t>
  </si>
  <si>
    <t>https://gawinpcba.en.made-in-china.com/</t>
  </si>
  <si>
    <t>Manufacturer/Factory, Trading Company</t>
  </si>
  <si>
    <t>Room 515 Jiurun Business Building No. 1658 Husong Road Songjiang District, Shanghai, China</t>
  </si>
  <si>
    <t>86-21-61739358</t>
  </si>
  <si>
    <t>https://gawinpcba.en.made-in-china.com/product/uwSfWUpdYrAt/China-IC-Chips-for-Electric-Cars-Mmbz27valt1g-Sot-23-Integrated-Circuits-IC-Chips-Shanghai-Inventory-in-Stock.html</t>
  </si>
  <si>
    <t>uwSfWUpdYrAt</t>
  </si>
  <si>
    <t>IC Chips for Electric Cars Mmbz27valt1g Sot-23 Integrated Circuits IC Chips Shanghai Inventory in Stock</t>
  </si>
  <si>
    <t>L85</t>
  </si>
  <si>
    <t>https://www.alibaba.com/product-detail/CS48L32-CNZR-LOW-POWER-VOICE-DSP_1601588489375.html</t>
  </si>
  <si>
    <t>1601588489375</t>
  </si>
  <si>
    <t>L86</t>
  </si>
  <si>
    <t>Russian Ties</t>
  </si>
  <si>
    <t>Shenzhen Biguang Tech Co., Ltd.</t>
  </si>
  <si>
    <t>https://biguangtech.en.alibaba.com</t>
  </si>
  <si>
    <t>https://www.alibaba.com/product-detail/CS48L32-CNZR-BOM-Service-LOW-POWER_1601214067116.html</t>
  </si>
  <si>
    <t>1601214067116</t>
  </si>
  <si>
    <t>L87</t>
  </si>
  <si>
    <t>https://www.alibaba.com/product-detail/CS48L32-CWZR-BOM-LOW-POWER-VOICE_1601219694139.html</t>
  </si>
  <si>
    <t>1601219694139</t>
  </si>
  <si>
    <t>CS48L32-CWZR BOM LOW POWER VOICE DSP CSP CS48L32-CWZR</t>
  </si>
  <si>
    <t>L88</t>
  </si>
  <si>
    <t>Shenzhen Jinxinda Technology Co., Ltd.</t>
  </si>
  <si>
    <t>https://jxdic.en.alibaba.com</t>
  </si>
  <si>
    <t>Room 1505, Dingcheng Building, Zhonghang Road, Shenzhen, Guangdong, China</t>
  </si>
  <si>
    <t>0086-0755-88606490</t>
  </si>
  <si>
    <t>CS5308P</t>
  </si>
  <si>
    <t>https://www.alibaba.com/product-detail/Brand-New-Original-8-CHANNEL-ADC_1601536423360.html</t>
  </si>
  <si>
    <t>1601536423360</t>
  </si>
  <si>
    <t>Brand New Original 8 CHANNEL ADC CS5308P-DN</t>
  </si>
  <si>
    <t>L89</t>
  </si>
  <si>
    <t>Shenzhen Apex-Chip Technology Co., Ltd.</t>
  </si>
  <si>
    <t>https://icsales.en.alibaba.com</t>
  </si>
  <si>
    <t>C29, West 4th Floor, Building 3, Seg Technology Park, No. 3012 Huaqiangbei Road, Licun Community, Huaqiangbei Subdistrict, Shenzhen, Guangdong, China</t>
  </si>
  <si>
    <t>86-755-13670100993</t>
  </si>
  <si>
    <t>https://www.alibaba.com/product-detail/Buy-Electronics-Components-Online-36-QFN_1601534599827.html</t>
  </si>
  <si>
    <t>1601534599827</t>
  </si>
  <si>
    <t>Buy Electronics Components Online 36 QFN CS42L55-CNZR Interface Original</t>
  </si>
  <si>
    <t>L90</t>
  </si>
  <si>
    <t>https://www.alibaba.com/product-detail/CS42L55-CNZ-BOM-Service-IC-CODEC_1601215582438.html</t>
  </si>
  <si>
    <t>1601215582438</t>
  </si>
  <si>
    <t>CS42L55-CNZ BOM Service IC CODEC STER H-HDPN AMP 36QFN CS42L55-CNZ</t>
  </si>
  <si>
    <t>L91</t>
  </si>
  <si>
    <t>https://www.alibaba.com/product-detail/Manufacturer-Channel-CS42L55-CNZ-36-QFN_1601534516961.html</t>
  </si>
  <si>
    <t>1601534516961</t>
  </si>
  <si>
    <t>Manufacturer Channel CS42L55-CNZ 36 QFN Interface Electronic Circuit Components</t>
  </si>
  <si>
    <t>L92</t>
  </si>
  <si>
    <t>https://www.alibaba.com/product-detail/CS42L55-DNZ-BOM-Service-IC-CODEC_1601215497549.html</t>
  </si>
  <si>
    <t>1601215497549</t>
  </si>
  <si>
    <t>CS42L55-DNZ BOM Service IC CODEC STER H-HDPN AMP 36-QFN CS42L55-DNZ</t>
  </si>
  <si>
    <t>L93</t>
  </si>
  <si>
    <t>https://www.alibaba.com/product-detail/Buy-Electronics-Components-Online-CS42L55-DNZ_1601534734037.html</t>
  </si>
  <si>
    <t>1601534734037</t>
  </si>
  <si>
    <t>Buy Electronics Components Online CS42L55-DNZ 36 QFN Interface Manufacturer Channel</t>
  </si>
  <si>
    <t>L94</t>
  </si>
  <si>
    <t>https://www.alibaba.com/product-detail/CS4525-CNZ-48-QFN-Linear-Buy_1601534698062.html</t>
  </si>
  <si>
    <t>1601534698062</t>
  </si>
  <si>
    <t>CS4525-CNZ 48 QFN Linear Buy Online Electronic Components Original</t>
  </si>
  <si>
    <t>L95</t>
  </si>
  <si>
    <t>https://www.alibaba.com/product-detail/Buy-Online-Electronic-Components-CS4525-CNZR_1601534707048.html</t>
  </si>
  <si>
    <t>1601534707048</t>
  </si>
  <si>
    <t>Buy Online Electronic Components CS4525-CNZR 48 QFN Linear Original</t>
  </si>
  <si>
    <t>L96</t>
  </si>
  <si>
    <t>https://www.alibaba.com/product-detail/CS47048C-CQZ-BOM-Service-IC-AUDIO_1600763388622.html</t>
  </si>
  <si>
    <t>1600763388622</t>
  </si>
  <si>
    <t>CS47048C-CQZ BOM Service IC AUDIO SOC SGL 32BIT 100-LQFP CS47048C-CQZ</t>
  </si>
  <si>
    <t>L97</t>
  </si>
  <si>
    <t>https://www.alibaba.com/product-detail/CS47048C-CQZ-BOM-Service-IC-AUDIO_1601213871446.html</t>
  </si>
  <si>
    <t>1601213871446</t>
  </si>
  <si>
    <t>L98</t>
  </si>
  <si>
    <t>https://www.alibaba.com/product-detail/CS47048C-CQZ-BOM-IC-AUDIO-SOC_1601219574119.html</t>
  </si>
  <si>
    <t>1601219574119</t>
  </si>
  <si>
    <t>CS47048C-CQZ BOM IC AUDIO SOC SGL 32BIT 100-LQFP CS47048C-CQZ</t>
  </si>
  <si>
    <t>L99</t>
  </si>
  <si>
    <t>Shenzhen Wusheng Technology Co., Ltd.</t>
  </si>
  <si>
    <t>https://wushengkeji1.en.alibaba.com</t>
  </si>
  <si>
    <t>Room 1305, Nanguang Building, No. 1004, Huafu Road, Huahang Community, Huaqiangbei Street, Shenzhen, Guangdong, China</t>
  </si>
  <si>
    <t>0086-0755-13790887977</t>
  </si>
  <si>
    <t>https://www.alibaba.com/product-detail/IN-STOCK-100-ORIGINAL-BRAND-NEW_1601605370198.html</t>
  </si>
  <si>
    <t>1601605370198</t>
  </si>
  <si>
    <t>IN STOCK 100% ORIGINAL BRAND NEW IC AUDIO SOC SGL 32BIT 100-LQFP CS47048C-CQZ</t>
  </si>
  <si>
    <t>L100</t>
  </si>
  <si>
    <t>https://www.alibaba.com/product-detail/Brand-New-Original-IC-AUDIO-SOC_1601526453950.html</t>
  </si>
  <si>
    <t>1601526453950</t>
  </si>
  <si>
    <t>Brand New Original IC AUDIO SOC SGL 32BIT 100-LQFP CS47048C-CQZ</t>
  </si>
  <si>
    <t>L101</t>
  </si>
  <si>
    <t>https://www.alibaba.com/product-detail/In-Stock-Embedded-100-LQFP-Exposed_1601530669790.html</t>
  </si>
  <si>
    <t>1601530669790</t>
  </si>
  <si>
    <t>In Stock Embedded 100 LQFP Exposed Pad CS47048C-CQZ Buy Online Electronic Components</t>
  </si>
  <si>
    <t>L102</t>
  </si>
  <si>
    <t>https://www.alibaba.com/product-detail/Original-CS47048C-CQZ-100-LQFP-Exposed_1601534688109.html</t>
  </si>
  <si>
    <t>1601534688109</t>
  </si>
  <si>
    <t>Original CS47048C-CQZ 100 LQFP Exposed Pad Embedded Buy Online Electronic Components</t>
  </si>
  <si>
    <t>L103</t>
  </si>
  <si>
    <t>Shenzhen GM Technology Co., Ltd.</t>
  </si>
  <si>
    <t>https://ghuimin.en.alibaba.com</t>
  </si>
  <si>
    <t>6b02, East 6th Floor, Building 3, Seg Technology Park, No. 3012 Huaqiangbei Road, Licun Community, Huaqiangbei Subdistrict, Shenzhen, Guangzhou, China</t>
  </si>
  <si>
    <t>86-0755-13924788279</t>
  </si>
  <si>
    <t>https://www.alibaba.com/product-detail/CS47048C-CQZ-QFP-specialized-Chip-Integrated_1601446589342.html</t>
  </si>
  <si>
    <t>1601446589342</t>
  </si>
  <si>
    <t>CS47048C-CQZ QFP specialized Chip Integrated Circuit Ics Ic Electronic Component Large Quantity  Favorable Price</t>
  </si>
  <si>
    <t>L104</t>
  </si>
  <si>
    <t>https://www.alibaba.com/product-detail/CS47048C-CQZ-QFP-specialized-Chip-Integrated_1601447063834.html</t>
  </si>
  <si>
    <t>1601447063834</t>
  </si>
  <si>
    <t>L105</t>
  </si>
  <si>
    <t>CS47L15</t>
  </si>
  <si>
    <t>https://www.alibaba.com/product-detail/CS47L15-CWZR-BOM-Service-IC-AUDIO_1601215529473.html</t>
  </si>
  <si>
    <t>1601215529473</t>
  </si>
  <si>
    <t>CS47L15-CWZR BOM Service IC AUDIO CODEC 24 BIT 70-WLCSP CS47L15-CWZR</t>
  </si>
  <si>
    <t>L106</t>
  </si>
  <si>
    <t>https://www.alibaba.com/product-detail/Components-Electronic-CS47L15-CWZR-70-UFBGA_1601534607691.html</t>
  </si>
  <si>
    <t>1601534607691</t>
  </si>
  <si>
    <t>Components Electronic CS47L15-CWZR 70 UFBGA WLCSP Interface In Stock</t>
  </si>
  <si>
    <t>L107</t>
  </si>
  <si>
    <t>Shenzhen Zhike Electronics Co., Ltd.</t>
  </si>
  <si>
    <t>https://zhikei.en.alibaba.com</t>
  </si>
  <si>
    <t>Room 5905a, Seg Plaza, Shenzhen, Guangdong, China</t>
  </si>
  <si>
    <t>86-755-88377589</t>
  </si>
  <si>
    <t>CS47L90</t>
  </si>
  <si>
    <t>https://www.alibaba.com/product-detail/CS47L90-CWZR-173-UFBGA-WLCSP-Embedded_1601566020174.html</t>
  </si>
  <si>
    <t>1601566020174</t>
  </si>
  <si>
    <t>CS47L90-CWZR 173 UFBGA WLCSP Embedded Buy Online Electronic Components Manufacturer Channel</t>
  </si>
  <si>
    <t>L108</t>
  </si>
  <si>
    <t>Shenzhen Blikai Electronics Co., Ltd.</t>
  </si>
  <si>
    <t>https://blikai.en.alibaba.com</t>
  </si>
  <si>
    <t>Buying Office, Agent, Distributor/Wholesaler</t>
  </si>
  <si>
    <t>Room 3106, Building A, North District, Jingji Binhe Times Square, No. 9289 Binhe Avenue, Xiasha Community, Shatou Street, Shenzhen, Guangdong, China</t>
  </si>
  <si>
    <t>8615361639385</t>
  </si>
  <si>
    <t>EP9301</t>
  </si>
  <si>
    <t>https://www.alibaba.com/product-detail/EP9301-CQZR-IC-MPU-EP9-166MHZ_1601478457987.html</t>
  </si>
  <si>
    <t>1601478457987</t>
  </si>
  <si>
    <t>EP9301-CQZR IC MPU EP9 166MHZ 208LQFP EP9301</t>
  </si>
  <si>
    <t>L109</t>
  </si>
  <si>
    <t>Shenzhen Anshengchuang Technology Co., Ltd.</t>
  </si>
  <si>
    <t>https://ic1618.en.alibaba.com</t>
  </si>
  <si>
    <t>Room 738, New Asia Guoli Building, No. 18 Zhonghang Road, Huahang Community, Huaqiangbei Subdistrict, Shenzhen, Guangdong, China</t>
  </si>
  <si>
    <t>86-0755-15019205087</t>
  </si>
  <si>
    <t>https://www.alibaba.com/product-detail/ASC-EP9302-IQZ-Microprocessors-Original-genuine_1601431704256.html</t>
  </si>
  <si>
    <t>1601431704256</t>
  </si>
  <si>
    <t>ASC EP9302-IQZ Microprocessors Original genuine products in stock</t>
  </si>
  <si>
    <t>L110</t>
  </si>
  <si>
    <t>https://www.alibaba.com/product-detail/EP9302-CQZ-BOM-Service-IC-MPU_1601214130558.html</t>
  </si>
  <si>
    <t>1601214130558</t>
  </si>
  <si>
    <t>EP9302-CQZ BOM Service IC MPU EP9 200MHZ 208LQFP EP9302-CQZ</t>
  </si>
  <si>
    <t>L111</t>
  </si>
  <si>
    <t>Shenzhen Chuangyun Xinyuan Technology Co., Ltd</t>
  </si>
  <si>
    <t>https://cn1542468701opzm.en.alibaba.com</t>
  </si>
  <si>
    <t>24F, 24th Floor, Hangdu Building, 1006 Huafu Road, Huahang Community, futian, guangdong, China</t>
  </si>
  <si>
    <t>86-0754-23605520</t>
  </si>
  <si>
    <t>https://www.alibaba.com/product-detail/Electronic-Circuit-Components-Ic-Chips-Integrated_1601424098273.html</t>
  </si>
  <si>
    <t>1601424098273</t>
  </si>
  <si>
    <t>Electronic Circuit Components Ic Chips Integrated Circuit EP9302-CQZ Embedded</t>
  </si>
  <si>
    <t>L112</t>
  </si>
  <si>
    <t>https://www.alibaba.com/product-detail/ASC-EP9302-CQZ-Microprocessors-Original-genuine_1601431786838.html</t>
  </si>
  <si>
    <t>1601431786838</t>
  </si>
  <si>
    <t>ASC EP9302-CQZ Microprocessors Original genuine products in stock</t>
  </si>
  <si>
    <t>L113</t>
  </si>
  <si>
    <t>https://www.alibaba.com/product-detail/EP9302-CQZ-BOM-Service-IC-MPU_1600763236144.html</t>
  </si>
  <si>
    <t>1600763236144</t>
  </si>
  <si>
    <t>L114</t>
  </si>
  <si>
    <t>https://www.alibaba.com/product-detail/EP9302-IQZ-BOM-Service-IC-MPU_1600763134536.html</t>
  </si>
  <si>
    <t>1600763134536</t>
  </si>
  <si>
    <t>EP9302-IQZ BOM Service IC MPU EP9 200MHZ 208LQFP EP9302-IQZ</t>
  </si>
  <si>
    <t>L115</t>
  </si>
  <si>
    <t>EP9312</t>
  </si>
  <si>
    <t>https://www.alibaba.com/product-detail/EP9312-IBZ-BOM-IC-MPU-EP9_1601219209902.html</t>
  </si>
  <si>
    <t>1601219209902</t>
  </si>
  <si>
    <t>EP9312-IBZ BOM IC MPU EP9 200MHZ 352BGA EP9312-IBZ</t>
  </si>
  <si>
    <t>L116</t>
  </si>
  <si>
    <t>https://www.alibaba.com/product-detail/EP9312-IBZ-BOM-Service-IC-MPU_1601214044704.html</t>
  </si>
  <si>
    <t>1601214044704</t>
  </si>
  <si>
    <t>EP9312-IBZ BOM Service IC MPU EP9 200MHZ 352BGA EP9312-IBZ</t>
  </si>
  <si>
    <t>L117</t>
  </si>
  <si>
    <t>https://www.alibaba.com/product-detail/Electronic-Circuit-Components-CS4525-CNZR-48_1601530663801.html</t>
  </si>
  <si>
    <t>1601530663801</t>
  </si>
  <si>
    <t>Electronic Circuit Components CS4525-CNZR 48 QFN Linear Authorized Distributor</t>
  </si>
  <si>
    <t>L118</t>
  </si>
  <si>
    <t>https://www.alibaba.com/product-detail/EP9302-IQZ-IC-MPU-EP9-200MHZ_1601425479525.html</t>
  </si>
  <si>
    <t>1601425479525</t>
  </si>
  <si>
    <t>EP9302-IQZ IC MPU EP9 200MHZ 208LQFP EP9302</t>
  </si>
  <si>
    <t>L119</t>
  </si>
  <si>
    <t>https://www.alibaba.com/product-detail/EP9302-IQZ-IC-MPU-EP9-200MHZ_1601538828887.html</t>
  </si>
  <si>
    <t>1601538828887</t>
  </si>
  <si>
    <t>L120</t>
  </si>
  <si>
    <t>Shenzhen Huaxia Forest Technology Co., Ltd.</t>
  </si>
  <si>
    <t>https://hxforest.en.alibaba.com</t>
  </si>
  <si>
    <t>Room 5009a, 50th Floor, Seg Plaza, No. 1002 Huaqiang North Road, Fuqiang Community, Huaqiang North Street, Shenzhen, Guangdong, China</t>
  </si>
  <si>
    <t>86-0075-65930938</t>
  </si>
  <si>
    <t>https://www.alibaba.com/product-detail/EP9302-IQZ-Buy-Electronics-Components-Online_1601422693367.html</t>
  </si>
  <si>
    <t>1601422693367</t>
  </si>
  <si>
    <t>EP9302-IQZ Buy Electronics Components Online In stock</t>
  </si>
  <si>
    <t>L121</t>
  </si>
  <si>
    <t>Cgocmall.com</t>
  </si>
  <si>
    <t>Cgocmall</t>
  </si>
  <si>
    <t>https://www.cgocmall.com</t>
  </si>
  <si>
    <t>Rm 2816-2818 , Century Place, AV 3018, Futian District, ShenZhen</t>
  </si>
  <si>
    <t>86-755-82571768</t>
  </si>
  <si>
    <t>CS4344</t>
  </si>
  <si>
    <t>https://www.cgocmall.com/CS4344_CZZR-96f11ebe08bd46c1afd993f5adc50fd1-2.html</t>
  </si>
  <si>
    <t>Cgocmall.com96f11ebe08bd46c1afd993f5adc50fd1</t>
  </si>
  <si>
    <t>CS4344-CZZR</t>
  </si>
  <si>
    <t>We are currently initiating contact with the seller.</t>
  </si>
  <si>
    <t>L122</t>
  </si>
  <si>
    <t>Bostk.com</t>
  </si>
  <si>
    <t>Bostk</t>
  </si>
  <si>
    <t>https://www.bostk.com</t>
  </si>
  <si>
    <t>RM A07 1701-02 NEW TREND CENTRE 704 PRINCE EDWARD ROAD EAST SAN PO KONG KL</t>
  </si>
  <si>
    <t>00852-58081022</t>
  </si>
  <si>
    <t>Bostk.com978453</t>
  </si>
  <si>
    <t>L123</t>
  </si>
  <si>
    <t>Hitech-semi.com</t>
  </si>
  <si>
    <t>Hitech-semi</t>
  </si>
  <si>
    <t>https://www.hitech-semi.com</t>
  </si>
  <si>
    <t>FLAT/RM 2309 23/F HO KING COMM CTR 2-16 FA YUEN ST MONGKOK HONGKONG</t>
  </si>
  <si>
    <t>852-51317901</t>
  </si>
  <si>
    <t>CS42888</t>
  </si>
  <si>
    <t>https://www.hitech-semi.com/products/H02934374/CS42888-DQZR.html</t>
  </si>
  <si>
    <t>Hitech-semi.comH02934374</t>
  </si>
  <si>
    <t>CS42888-DQZR | IC CODEC AUD 108DB 8CH 64LQFP</t>
  </si>
  <si>
    <t>L124</t>
  </si>
  <si>
    <t>Allelcoelec</t>
  </si>
  <si>
    <t>https://www.allelcoelec.com</t>
  </si>
  <si>
    <t>Room C 13/F Harvard Commercial Building 105-111 Thomson Road Wan Chai HongKong</t>
  </si>
  <si>
    <t>852-91464856</t>
  </si>
  <si>
    <t>CS4270</t>
  </si>
  <si>
    <t>Allelcoelec.comCS4270-CZZ</t>
  </si>
  <si>
    <t>L125</t>
  </si>
  <si>
    <t>United States</t>
  </si>
  <si>
    <t>Icdirectory.com</t>
  </si>
  <si>
    <t>Icdirectory</t>
  </si>
  <si>
    <t>https://www.icdirectory.com</t>
  </si>
  <si>
    <t>https://www.icdirectory.com/compare/cs4270-czz-vs-cs4271k-czz.html</t>
  </si>
  <si>
    <t>Icdirectory.comcs4270-czz-vs-cs4271k-czz</t>
  </si>
  <si>
    <t>CS4270-CZZ | IC CODEC 24BIT 105DB 24TSSOP</t>
  </si>
  <si>
    <t>L126</t>
  </si>
  <si>
    <t>Andesource.com</t>
  </si>
  <si>
    <t>Andesource</t>
  </si>
  <si>
    <t>https://www.andesource.com</t>
  </si>
  <si>
    <t>Flat A4,Block B ,27/F,TongLin City Square,Funing Rd,Futian,Shenzhen,China</t>
  </si>
  <si>
    <t>86-0755-83390101</t>
  </si>
  <si>
    <t>https://www.andesource.com/productdetail/CS8421-CZZR.html</t>
  </si>
  <si>
    <t>Andesource.comCS8421-CZZR</t>
  </si>
  <si>
    <t>CS8421-CZZR</t>
  </si>
  <si>
    <t>L127</t>
  </si>
  <si>
    <t>Nikenele.com</t>
  </si>
  <si>
    <t>Nikenele</t>
  </si>
  <si>
    <t>https://www.nikenele.com</t>
  </si>
  <si>
    <t>Rm1629, 16/F, Thriving Ind Centre, 26-38 Sha Tsui Road, Tsuen Wan, N.T.HongKong</t>
  </si>
  <si>
    <t>86-0755-82799867</t>
  </si>
  <si>
    <t>https://www.nikenele.com/Products/CS8421-EZZR.html</t>
  </si>
  <si>
    <t>Nikenele.comCS8421-EZZR</t>
  </si>
  <si>
    <t>CS8421-EZZR | IC SAMPLE RATE CONVERTER 20TSSOP</t>
  </si>
  <si>
    <t>L128</t>
  </si>
  <si>
    <t>Omida.net</t>
  </si>
  <si>
    <t>Omida</t>
  </si>
  <si>
    <t>https://www.omida.net</t>
  </si>
  <si>
    <t>Apartment 3517, Fuxing Century Building, No. 97 Zhenxing Road, Huaqiang North Street, Futian District, Shenzhen</t>
  </si>
  <si>
    <t>86-755-83245885</t>
  </si>
  <si>
    <t>https://www.omida.net/showpro.html?PartNo=CS8421-EZZ</t>
  </si>
  <si>
    <t>Omida.netCS8421-EZZ</t>
  </si>
  <si>
    <t>CS8421-EZZ | IC SAMPLE RATE CONVERTER 20TSSOP</t>
  </si>
  <si>
    <t>L129</t>
  </si>
  <si>
    <t>Xida-electronics.com</t>
  </si>
  <si>
    <t>Xida-electronics</t>
  </si>
  <si>
    <t>https://xida-electronics.com</t>
  </si>
  <si>
    <t>Rm 5808B, SEG Plaza, Futian District,518031, Shenzhen, China</t>
  </si>
  <si>
    <t>86-18025842658</t>
  </si>
  <si>
    <t>https://xida-electronics.com/Products/CS8421-EZZ.html</t>
  </si>
  <si>
    <t>Xida-electronics.comCS8421-EZZ</t>
  </si>
  <si>
    <t>L130</t>
  </si>
  <si>
    <t>Zkxgic.com</t>
  </si>
  <si>
    <t>Zkxgic</t>
  </si>
  <si>
    <t>https://zkxgic.com</t>
  </si>
  <si>
    <t>Rm 611, Bldg A, Delux Tech Park, Guanle Road, High-Tech Park, Longhua, Shenzhen, China. 518110</t>
  </si>
  <si>
    <t>86-755-83244661</t>
  </si>
  <si>
    <t>https://zkxgic.com/Products/CS8421-EZZ.html</t>
  </si>
  <si>
    <t>Zkxgic.comCS8421-EZZ</t>
  </si>
  <si>
    <t>L131</t>
  </si>
  <si>
    <t>Jotrin.com</t>
  </si>
  <si>
    <t>Jotrin</t>
  </si>
  <si>
    <t>https://www.jotrin.com</t>
  </si>
  <si>
    <t>Room G, 4th Floor, 1st Block, Golden Building, 152 Fuk Wah Street, Sham Shui Po, Kowloon, Hong Kong</t>
  </si>
  <si>
    <t>86-18682486380</t>
  </si>
  <si>
    <t>CS4351</t>
  </si>
  <si>
    <t>https://www.jotrin.com/product/parts/CS4351_CZZ_B</t>
  </si>
  <si>
    <t>Jotrin.comCS4351_CZZ_B</t>
  </si>
  <si>
    <t>CS4351-CZZ/B | IC DAC/AUDIO 24BIT 192K 20TSSOP</t>
  </si>
  <si>
    <t>Follow up sent in January</t>
  </si>
  <si>
    <t>L132</t>
  </si>
  <si>
    <t>Switzerland</t>
  </si>
  <si>
    <t>Elcodis.com</t>
  </si>
  <si>
    <t>Meier Automation Equipment Co., Limited</t>
  </si>
  <si>
    <t>https://elcodis.com</t>
  </si>
  <si>
    <t>https://elcodis.com/parts/537950/CS4270-CZZ.html</t>
  </si>
  <si>
    <t>Elcodis.com537950</t>
  </si>
  <si>
    <t>L133</t>
  </si>
  <si>
    <t>https://www.alibaba.com/product-detail/CS47L90-CWZR-BOM-Service-IC-LOW_1601214056352.html</t>
  </si>
  <si>
    <t>1601214056352</t>
  </si>
  <si>
    <t>CS47L90-CWZR BOM Service IC LOW PRW AUDIO HUB CS47L90-CWZR</t>
  </si>
  <si>
    <t>202512301418388933</t>
  </si>
  <si>
    <t>L134</t>
  </si>
  <si>
    <t>https://www.alibaba.com/product-detail/CS48L32-CWZR-BOM-Service-LOW-POWER_1601214088171.html</t>
  </si>
  <si>
    <t>1601214088171</t>
  </si>
  <si>
    <t>CS48L32-CWZR BOM Service LOW POWER VOICE DSP CSP CS48L32-CWZR</t>
  </si>
  <si>
    <t>L135</t>
  </si>
  <si>
    <t>https://www.alibaba.com/product-detail/CS48L32-CNZ-BOM-Service-LOW-POWER_1601213732806.html</t>
  </si>
  <si>
    <t>1601213732806</t>
  </si>
  <si>
    <t>CS48L32-CNZ BOM Service LOW POWER VOICE DSP QFN CS48L32-CNZ</t>
  </si>
  <si>
    <t>L136</t>
  </si>
  <si>
    <t>https://www.alibaba.com/product-detail/CS42L55-CNZR-BOM-Service-IC-CODEC_1601215404748.html</t>
  </si>
  <si>
    <t>1601215404748</t>
  </si>
  <si>
    <t>CS42L55-CNZR BOM Service IC CODEC STER H-HDPN AMP 36-QFN CS42L55-CNZR</t>
  </si>
  <si>
    <t>202601021321598780</t>
  </si>
  <si>
    <t>L137</t>
  </si>
  <si>
    <t>https://www.alibaba.com/product-detail/CS42L55-DNZR-BOM-Service-IC-CODEC_1601215488576.html</t>
  </si>
  <si>
    <t>1601215488576</t>
  </si>
  <si>
    <t>CS42L55-DNZR BOM Service IC CODEC STER H-HDPN AMP 36-QFN CS42L55-DNZR</t>
  </si>
  <si>
    <t>L138</t>
  </si>
  <si>
    <t>https://www.alibaba.com/product-detail/EP9302-IQZ-BOM-Service-IC-MPU_1601214250122.html</t>
  </si>
  <si>
    <t>1601214250122</t>
  </si>
  <si>
    <t>202601021321196658</t>
  </si>
  <si>
    <t>L139</t>
  </si>
  <si>
    <t>Gys.cn</t>
  </si>
  <si>
    <t>Shenzhen Zhengde Yuan Electronics Co., Ltd</t>
  </si>
  <si>
    <t>https://zhengdeyuandianzi.gys.cn/</t>
  </si>
  <si>
    <t>Guangdong Shenzhen Futian District Futian District, Futian Community, Futian District, Futian District, Shenzhen, No. 122, Beidi Tianfang, Futian Village, Futian Village, Shenzhen</t>
  </si>
  <si>
    <t>CS4385</t>
  </si>
  <si>
    <t>https://www.gys.cn/jichengdianluic/5387789904.html</t>
  </si>
  <si>
    <t>5387789904</t>
  </si>
  <si>
    <t>L140</t>
  </si>
  <si>
    <t>Shenzhen Hexinyi Technology Co., Ltd</t>
  </si>
  <si>
    <t>https://hexinyikj.gys.cn/</t>
  </si>
  <si>
    <t>https://www.gys.cn/jichengdianluic/5388163814.html</t>
  </si>
  <si>
    <t>5388163814</t>
  </si>
  <si>
    <t>L141</t>
  </si>
  <si>
    <t>Shenzhen Shidesheng Technology Co., Ltd</t>
  </si>
  <si>
    <t>https://shenzlu.gys.cn/</t>
  </si>
  <si>
    <t>Guangdong Shenzhen Futian District Huaqiang North Huaqiang Plaza Block A 14E</t>
  </si>
  <si>
    <t>EP9307</t>
  </si>
  <si>
    <t>EFBAE2BE1526</t>
  </si>
  <si>
    <t>https://www.gys.cn/jichengdianluic/4262023722.html</t>
  </si>
  <si>
    <t>4262023722</t>
  </si>
  <si>
    <t>L142</t>
  </si>
  <si>
    <t>Shenzhen Runbaixin Technology Co., Ltd</t>
  </si>
  <si>
    <t>https://baby168.gys.cn/</t>
  </si>
  <si>
    <t>Guangdong Shenzhen Futian District Zhenhua Road Gorgeous Decoration Building 2</t>
  </si>
  <si>
    <t>0755-82535266</t>
  </si>
  <si>
    <t>https://www.gys.cn/jichengdianluic/3763896630.html</t>
  </si>
  <si>
    <t>3763896630</t>
  </si>
  <si>
    <t>L143</t>
  </si>
  <si>
    <t>Shenzhen Hongshengda Electronics Co., Ltd</t>
  </si>
  <si>
    <t>https://honshengda.gys.cn/</t>
  </si>
  <si>
    <t>Guangdong Shenzhen Futian District Shen Fan Building Block A 1915</t>
  </si>
  <si>
    <t>https://www.gys.cn/jichengdianluic/5119771866.html</t>
  </si>
  <si>
    <t>5119771866</t>
  </si>
  <si>
    <t>L144</t>
  </si>
  <si>
    <t>杭州纳隆电子科技有限公司</t>
  </si>
  <si>
    <t>https://narron31.gys.cn/</t>
  </si>
  <si>
    <t>Room 419, Building 4, Zhongsha Jinzuo, No. 228 Shangsha Road, Hangzhou Economic and Technological Development Zone, Hangzhou, Qiantang District, Zhejiang Province</t>
  </si>
  <si>
    <t>0571-88010072</t>
  </si>
  <si>
    <t>CS4954</t>
  </si>
  <si>
    <t>https://www.gys.cn/qichedianping/5240961592.html</t>
  </si>
  <si>
    <t>5240961592</t>
  </si>
  <si>
    <t>L145</t>
  </si>
  <si>
    <t>CS44130</t>
  </si>
  <si>
    <t>https://www.alibaba.com/product-detail/CS44130-CNZ-BOM-IC-AMP-CLASS_1601230493652.html</t>
  </si>
  <si>
    <t>1601230493652</t>
  </si>
  <si>
    <t>CS44130-CNZ BOM IC AMP CLASS D DL/QUAD 60W 48QFN CS44130-CNZ</t>
  </si>
  <si>
    <t>L146</t>
  </si>
  <si>
    <t>https://www.alibaba.com/product-detail/CS47L15-CWZR-IC-AUDIO-CODEC-24_1601569181198.html</t>
  </si>
  <si>
    <t>1601569181198</t>
  </si>
  <si>
    <t>CS47L15-CWZR IC AUDIO CODEC 24 BIT 70-WLCSP -</t>
  </si>
  <si>
    <t>We have Initiated chat to know the inventory level.</t>
  </si>
  <si>
    <t>L147</t>
  </si>
  <si>
    <t>https://www.alibaba.com/product-detail/CS47L15-CWZR-BOM-IC-AUDIO-CODEC_1601218914148.html</t>
  </si>
  <si>
    <t>1601218914148</t>
  </si>
  <si>
    <t>CS47L15-CWZR BOM IC AUDIO CODEC 24 BIT 70-WLCSP CS47L15-CWZR</t>
  </si>
  <si>
    <t>High Discount, High Inventory</t>
  </si>
  <si>
    <t>L148</t>
  </si>
  <si>
    <t>https://www.alibaba.com/product-detail/CS47L15-CWZR-BOM-Service-IC-AUDIO_1600889983991.html</t>
  </si>
  <si>
    <t>1600889983991</t>
  </si>
  <si>
    <t>L149</t>
  </si>
  <si>
    <t>https://www.alibaba.com/product-detail/Brand-New-Original-IC-AUDIO-CODEC_1601517638944.html</t>
  </si>
  <si>
    <t>1601517638944</t>
  </si>
  <si>
    <t>Brand New Original IC AUDIO CODEC 24 BIT 70-WLCSP CS47L15-CWZR</t>
  </si>
  <si>
    <t>L150</t>
  </si>
  <si>
    <t>Shenzhen Vanknow Micro Electronic Co., LTD</t>
  </si>
  <si>
    <t>https://vanknow.en.alibaba.com</t>
  </si>
  <si>
    <t>2318, Block A, Modern Window, Shenzhen, Guangdong, China</t>
  </si>
  <si>
    <t>https://www.alibaba.com/product-detail/Buy-Electronics-Components-Online-173-UFBGA_1601600268456.html</t>
  </si>
  <si>
    <t>1601600268456</t>
  </si>
  <si>
    <t>Buy Electronics Components Online 173 UFBGA WLCSP CS47L90-CWZR Embedded Manufacturer Channel</t>
  </si>
  <si>
    <t>High Inventory</t>
  </si>
  <si>
    <t>L151</t>
  </si>
  <si>
    <t>https://www.alibaba.com/product-detail/Electronic-Circuit-Components-CS47L90-CWZR-173_1601534698077.html</t>
  </si>
  <si>
    <t>1601534698077</t>
  </si>
  <si>
    <t>Electronic Circuit Components CS47L90-CWZR 173 UFBGA WLCSP Embedded In Stock</t>
  </si>
  <si>
    <t>L152</t>
  </si>
  <si>
    <t>Shenzhen Shengxincheng Electronics Co., Ltd.</t>
  </si>
  <si>
    <t>https://primicelec.en.alibaba.com</t>
  </si>
  <si>
    <t>Room B905, Qunxing Plaza, No. 2015 Hongli Road, Licun Community, Huaqiangbei Street, Shenzhen, Guangdong, China</t>
  </si>
  <si>
    <t>https://www.alibaba.com/product-detail/CS48L32-CNZ-LOW-POWER-VOICE-DSP_1601524541096.html</t>
  </si>
  <si>
    <t>1601524541096</t>
  </si>
  <si>
    <t>CS48L32-CNZ LOW POWER VOICE DSP QFN</t>
  </si>
  <si>
    <t>L153</t>
  </si>
  <si>
    <t>https://www.alibaba.com/product-detail/CS48L32-CNZ-BOM-Service-LOW-POWER_1600763563940.html</t>
  </si>
  <si>
    <t>1600763563940</t>
  </si>
  <si>
    <t>L154</t>
  </si>
  <si>
    <t>https://www.alibaba.com/product-detail/Brand-New-Original-8-CHANNEL-ADC_1601536393537.html</t>
  </si>
  <si>
    <t>1601536393537</t>
  </si>
  <si>
    <t>Brand New Original 8 CHANNEL ADC CS5308P-DNR</t>
  </si>
  <si>
    <t>L155</t>
  </si>
  <si>
    <t>https://www.alibaba.com/product-detail/EP9301-CQZ-BOM-Service-IC-MPU_1600763229176.html</t>
  </si>
  <si>
    <t>1600763229176</t>
  </si>
  <si>
    <t>EP9301-CQZ BOM Service IC MPU EP9 166MHZ 208LQFP EP9301-CQZ</t>
  </si>
  <si>
    <t>L156</t>
  </si>
  <si>
    <t>https://www.alibaba.com/product-detail/EP9312-IBZ-IC-MPU-EP9-200MHZ_1601608881214.html</t>
  </si>
  <si>
    <t>1601608881214</t>
  </si>
  <si>
    <t>EP9312-IBZ IC MPU EP9 200MHZ 352BGA EP9312</t>
  </si>
  <si>
    <t>Discontinued Product</t>
  </si>
  <si>
    <t>L157</t>
  </si>
  <si>
    <t>https://www.alibaba.com/product-detail/EP9312-IBZ-BOM-Service-IC-MPU_1600763220665.html</t>
  </si>
  <si>
    <t>1600763220665</t>
  </si>
  <si>
    <t>L158</t>
  </si>
  <si>
    <t>Shenzhen Bixinda Technology Co., Ltd.</t>
  </si>
  <si>
    <t>https://bixinda.en.alibaba.com</t>
  </si>
  <si>
    <t>Room 13c167,huaqiang Electronic Market, Building 1, Huaqiangbei Street, Shenzhen, Guangdong, China</t>
  </si>
  <si>
    <t>86-0755-83248329</t>
  </si>
  <si>
    <t>CS42448</t>
  </si>
  <si>
    <t>https://www.alibaba.com/product-detail/CS42448-DQZ-CS42448-CS4244B-DQZ-TQFP_62425310834.html</t>
  </si>
  <si>
    <t>62425310834</t>
  </si>
  <si>
    <t>CS42448-DQZ CS42448 CS4244B-DQZ TQFP-64 Integrated circuit</t>
  </si>
  <si>
    <t>202602251511140219</t>
  </si>
  <si>
    <t>L159</t>
  </si>
  <si>
    <t>Shenzhen Antech Century Technology Co., Ltd.</t>
  </si>
  <si>
    <t>https://ic-antech.en.alibaba.com</t>
  </si>
  <si>
    <t>Trading Company, Buying Office, Distributor/Wholesaler</t>
  </si>
  <si>
    <t>22F, Block C, Huaqiang Garden, Fuhong Rd.,, Shenzhen, Guangdong, China</t>
  </si>
  <si>
    <t>86-755-82725725</t>
  </si>
  <si>
    <t>CS42435</t>
  </si>
  <si>
    <t>https://www.alibaba.com/product-detail/New-Original-Integrated-Circuit-CS42438-DMZ_60625801193.html</t>
  </si>
  <si>
    <t>60625801193</t>
  </si>
  <si>
    <t>New Original Integrated Circuit CS42438-DMZ CS42416-CQZ CS42435-DMZ CODEC 108DB 192KHZ MQFP52</t>
  </si>
  <si>
    <t>L160</t>
  </si>
  <si>
    <t>Shenzhen Hesheng Technology Co., Limited</t>
  </si>
  <si>
    <t>https://yiweixin.en.alibaba.com</t>
  </si>
  <si>
    <t>Room 1418, Block A, Block B, Baohua Building, No.1016 Huaqiang North Road, Shenzhen, Guangdong, China</t>
  </si>
  <si>
    <t>86-136-92112709</t>
  </si>
  <si>
    <t>https://www.alibaba.com/product-detail/CS4385-CQZ-New-and-Original-Integrated_1600772856774.html</t>
  </si>
  <si>
    <t>1600772856774</t>
  </si>
  <si>
    <t>CS4385-CQZ New and Original Integrated Circuit Other Ics Chip Bom List RFQ Electronic Components</t>
  </si>
  <si>
    <t>L161</t>
  </si>
  <si>
    <t>Shenzhen Fujiang Electronics Co., Ltd</t>
  </si>
  <si>
    <t>https://szfjdzyxgs.en.alibaba.com</t>
  </si>
  <si>
    <t>Huaqiangbei Seg 4009b, Shenzhen, Guangdong, China</t>
  </si>
  <si>
    <t>0000-0755-83539394</t>
  </si>
  <si>
    <t>https://www.alibaba.com/product-detail/Integrated-Circuit-Ic-Chips-CS44130-CNZ_1601661110771.html</t>
  </si>
  <si>
    <t>1601661110771</t>
  </si>
  <si>
    <t>Integrated Circuit Ic Chips CS44130-CNZ Chip 48 QFN IC AMP CLASS D DL/QUAD 60W 48QFN Authorized Distributor</t>
  </si>
  <si>
    <t>L162</t>
  </si>
  <si>
    <t>Huibaina (shenzhen) Industrial Co., Ltd.</t>
  </si>
  <si>
    <t>https://huibaina.en.alibaba.com</t>
  </si>
  <si>
    <t>1405, Building A, Qunxing Plaza, No. 2015 Hongli Road, Licun Community, Huaqiangbei Street, Shenzhen, Guangdong, China</t>
  </si>
  <si>
    <t>86-755-82721480</t>
  </si>
  <si>
    <t>https://www.alibaba.com/product-detail/Manufacturer-Channel-Chip-CS44130-CNZ-Electronic_1601662402392.html</t>
  </si>
  <si>
    <t>1601662402392</t>
  </si>
  <si>
    <t>Manufacturer Channel Chip CS44130-CNZ Electronic Components Production Line 48 QFN IC AMP CLASS D DL/QUAD 60W 48QFN</t>
  </si>
  <si>
    <t>L163</t>
  </si>
  <si>
    <t>Dongguan Dayson Electronic Technology Co., Ltd.</t>
  </si>
  <si>
    <t>https://dayson.en.alibaba.com</t>
  </si>
  <si>
    <t>1417 Dingcheng Building, Huaqiang North Street, Shenzhen, Guangdong, China</t>
  </si>
  <si>
    <t>86-0769-85338545</t>
  </si>
  <si>
    <t>CS3003</t>
  </si>
  <si>
    <t>https://www.alibaba.com/product-detail/CS3003-FNZ-Brand-New-Original-Chip_1601651900197.html</t>
  </si>
  <si>
    <t>1601651900197</t>
  </si>
  <si>
    <t>CS3003-FNZ Brand New Original Chip</t>
  </si>
  <si>
    <t>202602251505236486</t>
  </si>
  <si>
    <t>L164</t>
  </si>
  <si>
    <t>Shenzhen Weiyuan Electronics Co., Ltd.</t>
  </si>
  <si>
    <t>https://visensz.en.alibaba.com</t>
  </si>
  <si>
    <t>Trading Company, Distributor/Wholesaler</t>
  </si>
  <si>
    <t>Room 20x, Block B, Metro 100 Building, Shenzhen, Guangdong, China</t>
  </si>
  <si>
    <t>https://www.alibaba.com/product-detail/8-QFN-IC-INST-AMP-1_1601661073088.html</t>
  </si>
  <si>
    <t>1601661073088</t>
  </si>
  <si>
    <t>8 QFN IC INST AMP 1 CIRCUIT 8QFN Electronic Components Accessories Chip Original CS3003-FNZ</t>
  </si>
  <si>
    <t>L165</t>
  </si>
  <si>
    <t>https://www.alibaba.com/product-detail/Chip-8-QFN-CS3003-FNZ-Components_1601661009272.html</t>
  </si>
  <si>
    <t>1601661009272</t>
  </si>
  <si>
    <t>Chip 8 QFN CS3003-FNZ Components Electronic Manufacturer Channel</t>
  </si>
  <si>
    <t>L166</t>
  </si>
  <si>
    <t>https://www.alibaba.com/product-detail/Manufacturer-Channel-CS3003-INZ-Electronic-Components_1601660972837.html</t>
  </si>
  <si>
    <t>1601660972837</t>
  </si>
  <si>
    <t>Manufacturer Channel CS3003-INZ Electronic Components And Parts IC INST AMP 1 CIRCUIT 8QFN 8 QFN Chip</t>
  </si>
  <si>
    <t>L167</t>
  </si>
  <si>
    <t>https://www.alibaba.com/product-detail/CS3003-INZ-8-QFN-Chip-Components_1601660947668.html</t>
  </si>
  <si>
    <t>1601660947668</t>
  </si>
  <si>
    <t>CS3003-INZ 8 QFN Chip Components Electronic Manufacturer Channel</t>
  </si>
  <si>
    <t>L168</t>
  </si>
  <si>
    <t>https://www.alibaba.com/product-detail/Linear-CS3003-FNZ-8-QFN-Electronic_1601435431748.html</t>
  </si>
  <si>
    <t>1601435431748</t>
  </si>
  <si>
    <t>Linear CS3003 FNZ 8 QFN Electronic Circuit Components Manufacturer Channel</t>
  </si>
  <si>
    <t>L169</t>
  </si>
  <si>
    <t>https://www.alibaba.com/product-detail/In-Stock-CS3003-FNZ-8-QFN_1601438736746.html</t>
  </si>
  <si>
    <t>1601438736746</t>
  </si>
  <si>
    <t>In Stock CS3003-FNZ 8 QFN Linear Buy Online Electronic Components</t>
  </si>
  <si>
    <t>L170</t>
  </si>
  <si>
    <t>https://www.alibaba.com/product-detail/Original-Linear-8-QFN-CS3003-INZ_1601565996320.html</t>
  </si>
  <si>
    <t>1601565996320</t>
  </si>
  <si>
    <t>Original Linear 8 QFN CS3003-INZ Buy Online Electronic Components</t>
  </si>
  <si>
    <t>L171</t>
  </si>
  <si>
    <t>https://www.alibaba.com/product-detail/Authorized-Distributor-Linear-8-QFN-CS3003_1601565999320.html</t>
  </si>
  <si>
    <t>1601565999320</t>
  </si>
  <si>
    <t>Authorized Distributor Linear 8 QFN CS3003-FNZ Components Electronic</t>
  </si>
  <si>
    <t>L172</t>
  </si>
  <si>
    <t>ALLCHIPS ELECTRONICS LIMITED</t>
  </si>
  <si>
    <t>https://hkallchips.en.alibaba.com</t>
  </si>
  <si>
    <t>Room 806, 8/F. Hang Bong Commercial Centre, No. 28 Shanghai Street, Jordan, Hong Kong S.A.R.</t>
  </si>
  <si>
    <t>https://www.alibaba.com/product-detail/Authorized-Distributor-Chip-8-QFN-CS3003_1601616996122.html</t>
  </si>
  <si>
    <t>1601616996122</t>
  </si>
  <si>
    <t>Authorized Distributor Chip 8 QFN CS3003-FNZ Buy Online Electronic Components</t>
  </si>
  <si>
    <t>L173</t>
  </si>
  <si>
    <t>Shenzhen Xinsite Technology Electronics Co., Ltd.</t>
  </si>
  <si>
    <t>https://xinsite.en.alibaba.com</t>
  </si>
  <si>
    <t>1711 Dingcheng International Building, No. 7, Zhonghang Road, Huaqiang North Street, Huahang Community, Shenzhen, Guangdong, China</t>
  </si>
  <si>
    <t>https://www.alibaba.com/product-detail/Authorized-Distributor-Chip-IC-INST-AMP_1601627197513.html</t>
  </si>
  <si>
    <t>1601627197513</t>
  </si>
  <si>
    <t>Authorized Distributor Chip IC INST AMP 1 CIRCUIT 8QFN 8 QFN Buy Electronics Components Online CS3003-INZ</t>
  </si>
  <si>
    <t>L174</t>
  </si>
  <si>
    <t>https://www.alibaba.com/product-detail/CS3003-FNZ-8-QFN-Chip-Electronic_1601661215120.html</t>
  </si>
  <si>
    <t>1601661215120</t>
  </si>
  <si>
    <t>CS3003-FNZ 8 QFN Chip Electronic Chips Component In Stock</t>
  </si>
  <si>
    <t>L175</t>
  </si>
  <si>
    <t>https://www.alibaba.com/product-detail/Components-Electronic-8-QFN-CS3003-INZ_1601617005065.html</t>
  </si>
  <si>
    <t>1601617005065</t>
  </si>
  <si>
    <t>Components Electronic 8 QFN CS3003-INZ Chip Original</t>
  </si>
  <si>
    <t>L176</t>
  </si>
  <si>
    <t>5Chips Tech Limited</t>
  </si>
  <si>
    <t>https://5chips.en.alibaba.com</t>
  </si>
  <si>
    <t>FLAT C, 4/F, CIVIC COMMERCIAL BUILDING, 165-167 WOOSUNG STREET, Hong Kong S.A.R.</t>
  </si>
  <si>
    <t>https://www.alibaba.com/product-detail/Chip-IC-INST-AMP-1-CIRCUIT_1601661276375.html</t>
  </si>
  <si>
    <t>1601661276375</t>
  </si>
  <si>
    <t>Chip IC INST AMP 1 CIRCUIT 8QFN CS3003-FNZ BOM IC In Stock 8 QFN Ic Chips Integrated Circuit</t>
  </si>
  <si>
    <t>L177</t>
  </si>
  <si>
    <t>https://www.alibaba.com/product-detail/Electronic-Circuit-Components-CS3003-FNZ-Chip_1601627271034.html</t>
  </si>
  <si>
    <t>1601627271034</t>
  </si>
  <si>
    <t>Electronic Circuit Components CS3003-FNZ Chip 8 QFN IC INST AMP 1 CIRCUIT 8QFN Manufacturer Channel</t>
  </si>
  <si>
    <t>L178</t>
  </si>
  <si>
    <t>https://www.alibaba.com/product-detail/Electronics-Component-Chip-8-QFN-CS3003_1601661092791.html</t>
  </si>
  <si>
    <t>1601661092791</t>
  </si>
  <si>
    <t>Electronics Component Chip 8 QFN CS3003-INZ BOM IC In Stock</t>
  </si>
  <si>
    <t>L179</t>
  </si>
  <si>
    <t>Shenzhen Taichengxing Electronic Technology Co., Ltd.</t>
  </si>
  <si>
    <t>https://tcxforever.en.alibaba.com</t>
  </si>
  <si>
    <t>Room 2001, Dingcheng Building, Huaqiangbei Street, Shenzhen City, Guangdong Province, China</t>
  </si>
  <si>
    <t>https://www.alibaba.com/product-detail/8-QFN-Kit-Electronic-Components-IC_1601665418044.html</t>
  </si>
  <si>
    <t>1601665418044</t>
  </si>
  <si>
    <t>8 QFN Kit Electronic Components IC INST AMP 1 CIRCUIT 8QFN BOM IC In Stock Chip CS3003-FNZ</t>
  </si>
  <si>
    <t>L180</t>
  </si>
  <si>
    <t>https://www.alibaba.com/product-detail/Circuit-Integrated-CS3003-FNZ-Chip-8_1601661186472.html</t>
  </si>
  <si>
    <t>1601661186472</t>
  </si>
  <si>
    <t>Circuit Integrated CS3003-FNZ Chip 8 QFN IC INST AMP 1 CIRCUIT 8QFN Original One Stop Service</t>
  </si>
  <si>
    <t>L181</t>
  </si>
  <si>
    <t>https://www.alibaba.com/product-detail/Authorized-Distributor-IC-INST-AMP-1_1601661309207.html</t>
  </si>
  <si>
    <t>1601661309207</t>
  </si>
  <si>
    <t>Authorized Distributor IC INST AMP 1 CIRCUIT 8QFN Integrated Circuit Price 8 QFN Chip CS3003-INZ</t>
  </si>
  <si>
    <t>L182</t>
  </si>
  <si>
    <t>Shenzhen Yima Yuantian Electronic Technology Co., Ltd.</t>
  </si>
  <si>
    <t>https://ymyt.en.alibaba.com</t>
  </si>
  <si>
    <t>901902, Building 501, Shangbu Industrial Zone, No. 3011 Hongli Road, Huahang Community, Huaqiangbei Street, Shenzhen, Guangdong Province, China</t>
  </si>
  <si>
    <t>https://www.alibaba.com/product-detail/Electronic-Components-Purchase-CS3003-FNZ-Chip_1601674263066.html</t>
  </si>
  <si>
    <t>1601674263066</t>
  </si>
  <si>
    <t>Electronic Components Purchase CS3003-FNZ Chip 8 QFN Original One Stop Service IC INST AMP 1 CIRCUIT 8QFN</t>
  </si>
  <si>
    <t>L183</t>
  </si>
  <si>
    <t>https://www.alibaba.com/product-detail/IC-INST-AMP-1-CIRCUIT-8QFN_1601665275859.html</t>
  </si>
  <si>
    <t>1601665275859</t>
  </si>
  <si>
    <t>IC INST AMP 1 CIRCUIT 8QFN Kit Electronic Components Chip CS3003-INZ 8 QFN In Stock</t>
  </si>
  <si>
    <t>L184</t>
  </si>
  <si>
    <t>https://www.alibaba.com/product-detail/Original-One-Stop-Service-Chip-8_1601661202655.html</t>
  </si>
  <si>
    <t>1601661202655</t>
  </si>
  <si>
    <t>Original One Stop Service Chip 8 QFN CS3003-FNZ Buy Online Electronic Components</t>
  </si>
  <si>
    <t>L185</t>
  </si>
  <si>
    <t>https://www.alibaba.com/product-detail/Chip-CS3003-INZ-8-QFN-Electronics_1601661162887.html</t>
  </si>
  <si>
    <t>1601661162887</t>
  </si>
  <si>
    <t>Chip CS3003-INZ 8 QFN Electronics Component Authorized Distributor</t>
  </si>
  <si>
    <t>L186</t>
  </si>
  <si>
    <t>https://www.alibaba.com/product-detail/Original-One-Stop-Service-Chip-8_1601674134370.html</t>
  </si>
  <si>
    <t>1601674134370</t>
  </si>
  <si>
    <t>Original One Stop Service Chip 8 QFN CS3003-FNZ Electronic Circuit Components</t>
  </si>
  <si>
    <t>L187</t>
  </si>
  <si>
    <t>https://www.alibaba.com/product-detail/Wholesale-Electronic-Components-BOM-IC-In_1601674185597.html</t>
  </si>
  <si>
    <t>1601674185597</t>
  </si>
  <si>
    <t>Wholesale Electronic Components BOM IC In Stock CS3003-INZ Chip IC INST AMP 1 CIRCUIT 8QFN 8 QFN</t>
  </si>
  <si>
    <t>L188</t>
  </si>
  <si>
    <t>https://www.alibaba.com/product-detail/Electronics-Component-8-QFN-CS3003-FNZ_1601665382198.html</t>
  </si>
  <si>
    <t>1601665382198</t>
  </si>
  <si>
    <t>Electronics Component 8 QFN CS3003-FNZ Chip Original One Stop Service</t>
  </si>
  <si>
    <t>L189</t>
  </si>
  <si>
    <t>https://www.alibaba.com/product-detail/Original-One-Stop-Service-CS3003-INZ_1601674196216.html</t>
  </si>
  <si>
    <t>1601674196216</t>
  </si>
  <si>
    <t>Original One Stop Service CS3003-INZ 8 QFN Chip Buy Electronics Components Online</t>
  </si>
  <si>
    <t>L190</t>
  </si>
  <si>
    <t>Shenzhen Xinlingtong Electronics Co., Ltd.</t>
  </si>
  <si>
    <t>https://xinlingtong.en.alibaba.com</t>
  </si>
  <si>
    <t>2901-E, Bank Of Communications Building, Century Gateway, Shenzhen, Guangdong Province, China</t>
  </si>
  <si>
    <t>https://www.alibaba.com/product-detail/Chip-CS3003-INZ-8-QFN-Electronic_1601602742554.html</t>
  </si>
  <si>
    <t>1601602742554</t>
  </si>
  <si>
    <t>Chip CS3003-INZ 8 QFN Electronic Circuit Components In Stock</t>
  </si>
  <si>
    <t>L191</t>
  </si>
  <si>
    <t>https://www.alibaba.com/product-detail/Chip-CS3003-FNZ-8-QFN-Buy_1601602758561.html</t>
  </si>
  <si>
    <t>1601602758561</t>
  </si>
  <si>
    <t>Chip CS3003-FNZ 8 QFN Buy Online Electronic Components Authorized Distributor</t>
  </si>
  <si>
    <t>L192</t>
  </si>
  <si>
    <t>https://www.alibaba.com/product-detail/Chip-CS3003-INZ-8-QFN-Components_1601665409017.html</t>
  </si>
  <si>
    <t>1601665409017</t>
  </si>
  <si>
    <t>Chip CS3003-INZ 8 QFN Components Electronic Original One Stop Service</t>
  </si>
  <si>
    <t>L193</t>
  </si>
  <si>
    <t>https://www.alibaba.com/product-detail/8-QFN-IC-INST-AMP-1_1601661177487.html</t>
  </si>
  <si>
    <t>1601661177487</t>
  </si>
  <si>
    <t>8 QFN IC INST AMP 1 CIRCUIT 8QFN CS3003-INZ Chip Electronics Components Online Authorized Distributor</t>
  </si>
  <si>
    <t>L194</t>
  </si>
  <si>
    <t>Yiwu Yingren Trading Firm</t>
  </si>
  <si>
    <t>https://szyingren.en.alibaba.com</t>
  </si>
  <si>
    <t>1105, Block A, World Trade Plaza, Shenzhen, Guangdong, China</t>
  </si>
  <si>
    <t>https://www.alibaba.com/product-detail/Authorized-Distributor-Chip-IC-INST-AMP_1601667207857.html</t>
  </si>
  <si>
    <t>1601667207857</t>
  </si>
  <si>
    <t>Authorized Distributor Chip IC INST AMP 1 CIRCUIT 8QFN Electronic Components Suppliers 8 QFN CS3003-INZ</t>
  </si>
  <si>
    <t>L195</t>
  </si>
  <si>
    <t>https://www.alibaba.com/product-detail/BOM-IC-In-Stock-Electronic-Components_1601667278591.html</t>
  </si>
  <si>
    <t>1601667278591</t>
  </si>
  <si>
    <t>BOM IC In Stock Electronic Components Accessories 8 QFN Chip IC INST AMP 1 CIRCUIT 8QFN CS3003-FNZ</t>
  </si>
  <si>
    <t>L196</t>
  </si>
  <si>
    <t>Shenzhen Digking Technology Co., Ltd.</t>
  </si>
  <si>
    <t>https://digking.en.alibaba.com</t>
  </si>
  <si>
    <t>Room 6011b, Seg Plaza, No. 1002 Huaqiang North Road, Fuqiang Community, Huaqiang North Street, Shenzhen, Guangdong, China</t>
  </si>
  <si>
    <t>https://www.alibaba.com/product-detail/CS3003-INZ-Chip-IC-INST-AMP_1601625349157.html</t>
  </si>
  <si>
    <t>1601625349157</t>
  </si>
  <si>
    <t>CS3003-INZ Chip IC INST AMP 1 CIRCUIT 8QFN In Stock Buy Online Electronic Components 8 QFN</t>
  </si>
  <si>
    <t>L197</t>
  </si>
  <si>
    <t>https://www.alibaba.com/product-detail/CS3003-FNZ-8-QFN-IC-INST_1601625261755.html</t>
  </si>
  <si>
    <t>1601625261755</t>
  </si>
  <si>
    <t>CS3003-FNZ 8 QFN IC INST AMP 1 CIRCUIT 8QFN Chip Authorized Distributor Electronic Circuit Components</t>
  </si>
  <si>
    <t>L198</t>
  </si>
  <si>
    <t>https://www.alibaba.com/product-detail/Buy-Online-Electronic-Components-CS3003-FNZ_1601667190451.html</t>
  </si>
  <si>
    <t>1601667190451</t>
  </si>
  <si>
    <t>Buy Online Electronic Components CS3003-FNZ 8 QFN Chip Manufacturer Channel</t>
  </si>
  <si>
    <t>L199</t>
  </si>
  <si>
    <t>https://www.alibaba.com/product-detail/BOM-IC-In-Stock-Chip-8_1601667263122.html</t>
  </si>
  <si>
    <t>1601667263122</t>
  </si>
  <si>
    <t>BOM IC In Stock Chip 8 QFN CS3003-INZ Components Electronic</t>
  </si>
  <si>
    <t>L200</t>
  </si>
  <si>
    <t>https://www.alibaba.com/product-detail/BOM-IC-In-Stock-Electronics-Component_1601662316654.html</t>
  </si>
  <si>
    <t>1601662316654</t>
  </si>
  <si>
    <t>BOM IC In Stock Electronics Component CS3003-FNZ 8 QFN Chip</t>
  </si>
  <si>
    <t>L201</t>
  </si>
  <si>
    <t>Shenzhen Jiayousheng Electronics Co., Ltd.</t>
  </si>
  <si>
    <t>https://szjvs.en.alibaba.com</t>
  </si>
  <si>
    <t>612, Building 544, Bagua Ling Industrial Zone, No. 4 Bagua 5th Street, Hualin Community, Yuanling Street, Shenzhen, Guangdong, China</t>
  </si>
  <si>
    <t>https://www.alibaba.com/product-detail/In-Stock-Linear-8-QFN-CS3003_1601519564389.html</t>
  </si>
  <si>
    <t>1601519564389</t>
  </si>
  <si>
    <t>In Stock Linear 8 QFN CS3003-FNZ Buy Online Electronic Components</t>
  </si>
  <si>
    <t>L202</t>
  </si>
  <si>
    <t>https://www.alibaba.com/product-detail/Buy-Electronics-Components-Online-8-QFN_1601662374328.html</t>
  </si>
  <si>
    <t>1601662374328</t>
  </si>
  <si>
    <t>Buy Electronics Components Online 8 QFN CS3003-INZ Chip Authorized Distributor</t>
  </si>
  <si>
    <t>L203</t>
  </si>
  <si>
    <t>https://www.alibaba.com/product-detail/IC-INST-AMP-1-CIRCUIT-8QFN_1601662332860.html</t>
  </si>
  <si>
    <t>1601662332860</t>
  </si>
  <si>
    <t>IC INST AMP 1 CIRCUIT 8QFN BOM IC In Stock Chip Kit Electronic Components CS3003-FNZ 8 QFN</t>
  </si>
  <si>
    <t>L204</t>
  </si>
  <si>
    <t>https://www.alibaba.com/product-detail/CS3003-INZ-8-QFN-IC-INST_11000031766905.html</t>
  </si>
  <si>
    <t>11000031766905</t>
  </si>
  <si>
    <t>CS3003-INZ 8 QFN IC INST AMP 1 CIRCUIT 8QFN In Stock Chip Electronic Components Supplies</t>
  </si>
  <si>
    <t>L205</t>
  </si>
  <si>
    <t>https://www.alibaba.com/product-detail/IC-INST-AMP-1-CIRCUIT-8QFN_1601662395492.html</t>
  </si>
  <si>
    <t>1601662395492</t>
  </si>
  <si>
    <t>IC INST AMP 1 CIRCUIT 8QFN Chip Original Electronic Components Integrated Circuit CS3003-INZ 8 QFN</t>
  </si>
  <si>
    <t>L206</t>
  </si>
  <si>
    <t>https://www.alibaba.com/product-detail/CS3003-FNZ-Original-8-QFN-Chip_11000031782880.html</t>
  </si>
  <si>
    <t>11000031782880</t>
  </si>
  <si>
    <t>CS3003-FNZ Original 8 QFN Chip IC INST AMP 1 CIRCUIT 8QFN Components Electronic</t>
  </si>
  <si>
    <t>L207</t>
  </si>
  <si>
    <t>https://www.alibaba.com/product-detail/Electronics-Component-8-QFN-CS3003-FNZ_11000031698529.html</t>
  </si>
  <si>
    <t>11000031698529</t>
  </si>
  <si>
    <t>Electronics Component 8 QFN CS3003-FNZ Chip Manufacturer Channel</t>
  </si>
  <si>
    <t>L208</t>
  </si>
  <si>
    <t>https://www.alibaba.com/product-detail/Chip-CS3003-INZ-8-QFN-Buy_11000031693480.html</t>
  </si>
  <si>
    <t>11000031693480</t>
  </si>
  <si>
    <t>Chip CS3003-INZ 8 QFN Buy Electronics Components Online Manufacturer Channel</t>
  </si>
  <si>
    <t>L209</t>
  </si>
  <si>
    <t>https://www.alibaba.com/product-detail/CS3003-INZ-BOM-Service-IC-INST_1601233520578.html</t>
  </si>
  <si>
    <t>1601233520578</t>
  </si>
  <si>
    <t>CS3003-INZ BOM Service IC INST AMP 1 CIRCUIT 8QFN CS3003-INZ</t>
  </si>
  <si>
    <t>202602251459136475</t>
  </si>
  <si>
    <t>L210</t>
  </si>
  <si>
    <t>https://www.alibaba.com/product-detail/CS3003-FNZ-BOM-Service-IC-INST_1600819131729.html</t>
  </si>
  <si>
    <t>1600819131729</t>
  </si>
  <si>
    <t>CS3003-FNZ BOM Service IC INST AMP 1 CIRCUIT 8QFN CS3003-FNZ</t>
  </si>
  <si>
    <t>L211</t>
  </si>
  <si>
    <t>https://www.alibaba.com/product-detail/CS3003-FNZ-IC-INST-AMP-1_1601557504617.html</t>
  </si>
  <si>
    <t>1601557504617</t>
  </si>
  <si>
    <t>CS3003-FNZ IC INST AMP 1 CIRCUIT 8QFN</t>
  </si>
  <si>
    <t>L212</t>
  </si>
  <si>
    <t>https://www.alibaba.com/product-detail/CS3003-INZ-IC-INST-AMP-1_1601557492672.html</t>
  </si>
  <si>
    <t>1601557492672</t>
  </si>
  <si>
    <t>CS3003-INZ IC INST AMP 1 CIRCUIT 8QFN</t>
  </si>
  <si>
    <t>L213</t>
  </si>
  <si>
    <t>https://www.alibaba.com/product-detail/CS3003-FNZ-BOM-Service-IC-INST_1601233718225.html</t>
  </si>
  <si>
    <t>1601233718225</t>
  </si>
  <si>
    <t>L214</t>
  </si>
  <si>
    <t>https://www.alibaba.com/product-detail/Interface-IC-CODEC-STER-H-HDPN_1601418962995.html</t>
  </si>
  <si>
    <t>1601418962995</t>
  </si>
  <si>
    <t>Interface IC CODEC STER H-HDPN AMP 36QFN CS42L55-CNZ Electronic Component Distributor</t>
  </si>
  <si>
    <t>L215</t>
  </si>
  <si>
    <t>Shenzhen HYST Technology Co., Ltd.</t>
  </si>
  <si>
    <t>https://hyst.en.alibaba.com/index.html</t>
  </si>
  <si>
    <t>https://www.alibaba.com/product-detail/China-Chip-Suppliers-CS4272-CZZR-Logic_1601539146782.html</t>
  </si>
  <si>
    <t>1601539146782</t>
  </si>
  <si>
    <t>High Inventory, Low Price</t>
  </si>
  <si>
    <t>L216</t>
  </si>
  <si>
    <t>Shenzhen Rainbowsemi Electronics Co., Ltd.</t>
  </si>
  <si>
    <t>https://rainbowsemi.en.alibaba.com/index.html</t>
  </si>
  <si>
    <t>YFAABXZH1441</t>
  </si>
  <si>
    <t>https://www.alibaba.com/product-detail/CS4272-CZZ-Audio-decoder-chip-SOP28_62132393183.html</t>
  </si>
  <si>
    <t>62132393183</t>
  </si>
  <si>
    <t>CS4272-CZZ Audio decoder chip SOP28 in stock Audio chip</t>
  </si>
  <si>
    <t>L217</t>
  </si>
  <si>
    <t>https://icyeahyoung.en.alibaba.com/index.html</t>
  </si>
  <si>
    <t>https://www.alibaba.com/product-detail/CS42L55-CNZ-IC-CODEC-STER-H_11000031589899.html</t>
  </si>
  <si>
    <t>11000031589899</t>
  </si>
  <si>
    <t>CS42L55-CNZ IC CODEC STER H-HDPN AMP 36QFN CS42L55</t>
  </si>
  <si>
    <t>L218</t>
  </si>
  <si>
    <t>https://blikai.en.alibaba.com/index.html</t>
  </si>
  <si>
    <t>https://www.alibaba.com/product-detail/EP7312-CVZ-IC-MPU-EP7-74MHZ_1601637235159.html</t>
  </si>
  <si>
    <t>1601637235159</t>
  </si>
  <si>
    <t>EP7312-CVZ IC MPU EP7 74MHZ 208LQFP EP7312</t>
  </si>
  <si>
    <t>L219</t>
  </si>
  <si>
    <t>Shenzhen Huayingyu Electronic Technology Co., Ltd.</t>
  </si>
  <si>
    <t>https://hdyu.en.alibaba.com/index.html</t>
  </si>
  <si>
    <t>YFAABXRH1850</t>
  </si>
  <si>
    <t>https://www.alibaba.com/product-detail/HDYu-100-Original-New-CS4272-CZZ_1601162536814.html</t>
  </si>
  <si>
    <t>1601162536814</t>
  </si>
  <si>
    <t>HDYu(100%Original &amp; New)CS4272-CZZ IC CODEC AUD 24BIT 114DB 28TSSOP Electronic components CS4272-CZZ</t>
  </si>
  <si>
    <t>L220</t>
  </si>
  <si>
    <t>Shenzhen King Joining Tech Co., Ltd.</t>
  </si>
  <si>
    <t>https://kingjoining.en.alibaba.com/index.html</t>
  </si>
  <si>
    <t>YFAABXAU2141</t>
  </si>
  <si>
    <t>https://www.alibaba.com/product-detail/IC-Chips-Integrated-Circuit-Electronic-Components_1601405560118.html</t>
  </si>
  <si>
    <t>1601405560118</t>
  </si>
  <si>
    <t>IC Chips Integrated Circuit Electronic Components CS4272-CZZR TSSOP28 Original and new</t>
  </si>
  <si>
    <t>L221</t>
  </si>
  <si>
    <t>https://hxforest.en.alibaba.com/company_profile.html</t>
  </si>
  <si>
    <t>https://www.alibaba.com/product-detail/Manufacturer-Channel-Buy-Electronics-Components-Online_1601422648702.html</t>
  </si>
  <si>
    <t>1601422648702</t>
  </si>
  <si>
    <t>Manufacturer Channel Buy Electronics Components Online EP7312-CR</t>
  </si>
  <si>
    <t>L222</t>
  </si>
  <si>
    <t>Shenzhen E-Solution Technology Limited</t>
  </si>
  <si>
    <t>https://e-sotech.en.alibaba.com/index.html</t>
  </si>
  <si>
    <t>BAC0CS1317</t>
  </si>
  <si>
    <t>https://www.alibaba.com/product-detail/New-And-Original-Electronic-Components-Cs4208_1600552511564.html</t>
  </si>
  <si>
    <t>1600552511564</t>
  </si>
  <si>
    <t>New And Original Electronic Components Cs4208-crz Ic</t>
  </si>
  <si>
    <t>L223</t>
  </si>
  <si>
    <t>https://www.alibaba.com/product-detail/New-And-Original-Electronic-Components-Ic_1600334510263.html</t>
  </si>
  <si>
    <t>1600334510263</t>
  </si>
  <si>
    <t>New And Original Electronic Components Ic Ic Cs4208-crz New And Original</t>
  </si>
  <si>
    <t>L224</t>
  </si>
  <si>
    <t>CS5463</t>
  </si>
  <si>
    <t>AADXHM1109</t>
  </si>
  <si>
    <t>https://www.alibaba.com/product-detail/new-and-original-electronic-components-integrated_1601560186199.html</t>
  </si>
  <si>
    <t>1601560186199</t>
  </si>
  <si>
    <t>new and original electronic components integrated circuit CS5463-ISZ</t>
  </si>
  <si>
    <t>L225</t>
  </si>
  <si>
    <t>Ali Kaisheng Century (shenzhen) Electronics Co., Ltd.</t>
  </si>
  <si>
    <t>https://alibabakaisheng.en.alibaba.com/index.html</t>
  </si>
  <si>
    <t>https://www.alibaba.com/product-detail/New-And-Original-EP9301-IQZ-IC_10000039929696.html</t>
  </si>
  <si>
    <t>10000039929696</t>
  </si>
  <si>
    <t>New And Original EP9301-IQZ IC MPU EP9 166MHZ 208LQFP Integrated Circuits (ICs)/Microprocessors</t>
  </si>
  <si>
    <t>L226</t>
  </si>
  <si>
    <t>https://www.alibaba.com/product-detail/New-And-Original-EP9302-IQZ-IC_10000039911740.html</t>
  </si>
  <si>
    <t>10000039911740</t>
  </si>
  <si>
    <t>New And Original EP9302-IQZ IC MPU EP9 200MHZ 208LQFP Integrated Circuits (ICs)/Microprocessors</t>
  </si>
  <si>
    <t>L227</t>
  </si>
  <si>
    <t>Shenzhen Jiahuahuiming Trade Co., Ltd.</t>
  </si>
  <si>
    <t>https://jiahuahuiming.en.alibaba.com/index.html</t>
  </si>
  <si>
    <t>Cs4208</t>
  </si>
  <si>
    <t>BAC0UC1326</t>
  </si>
  <si>
    <t>https://www.alibaba.com/product-detail/Sound-Card-Chip-Ic-Cs4208-Crz_1600807037499.html</t>
  </si>
  <si>
    <t>1600807037499</t>
  </si>
  <si>
    <t>Sound Card Chip Ic Cs4208 Crz</t>
  </si>
  <si>
    <t>L228</t>
  </si>
  <si>
    <t>YFNABXEA0802</t>
  </si>
  <si>
    <t>https://www.alibaba.com/product-detail/XZT-New-Original-CS4272-IC-chip_1600658235047.html</t>
  </si>
  <si>
    <t>1600658235047</t>
  </si>
  <si>
    <t>XZT (New &amp; Original)CS4272 IC chip CS4272-CZZ</t>
  </si>
  <si>
    <t>L229</t>
  </si>
  <si>
    <t>Shenzhen Yanjin Technology Co., Ltd</t>
  </si>
  <si>
    <t>https://yarking.gys.cn/</t>
  </si>
  <si>
    <t>https://www.gys.cn/jichengdianluic/2376096654.html</t>
  </si>
  <si>
    <t>2376096654</t>
  </si>
  <si>
    <t>Unauthorized use of Trademark Logo</t>
  </si>
  <si>
    <t>L230</t>
  </si>
  <si>
    <t>https://www.gys.cn/jichengdianluic/2381603175.html</t>
  </si>
  <si>
    <t>2381603175</t>
  </si>
  <si>
    <t>L231</t>
  </si>
  <si>
    <t>https://www.gys.cn/jichengdianluic/2381605191.html</t>
  </si>
  <si>
    <t>2381605191</t>
  </si>
  <si>
    <t>L232</t>
  </si>
  <si>
    <t>https://www.gys.cn/jichengdianluic/2381607456.html</t>
  </si>
  <si>
    <t>2381607456</t>
  </si>
  <si>
    <t>L233</t>
  </si>
  <si>
    <t>Shenzhen Huachengda Communication Equipment Co., Ltd</t>
  </si>
  <si>
    <t>https://huachengdatong.gys.cn/</t>
  </si>
  <si>
    <t>NACXCT1721</t>
  </si>
  <si>
    <t>https://www.gys.cn/jichengdianluic/5183298316.html</t>
  </si>
  <si>
    <t>5183298316</t>
  </si>
  <si>
    <t>L234</t>
  </si>
  <si>
    <t>Shenzhen Yusheng Yunke Industrial Co., Ltd</t>
  </si>
  <si>
    <t>https://yushengyunke.gys.cn/</t>
  </si>
  <si>
    <t>https://www.gys.cn/jichengdianluic/5440152969.html</t>
  </si>
  <si>
    <t>5440152969</t>
  </si>
  <si>
    <t xml:space="preserve">Dispatched via FedEx, with tracking no. 889460004215
</t>
  </si>
  <si>
    <t>Feb</t>
  </si>
  <si>
    <t>2026</t>
  </si>
  <si>
    <t>Jan</t>
  </si>
  <si>
    <t>CS5344</t>
  </si>
  <si>
    <t>202603191336414918</t>
  </si>
  <si>
    <t>202603191332268298</t>
  </si>
  <si>
    <t>A0AQ1647</t>
  </si>
  <si>
    <t>E-linktrader.com</t>
  </si>
  <si>
    <t>E-linktrader</t>
  </si>
  <si>
    <t>https://www.e-linktrader.com/</t>
  </si>
  <si>
    <t>Suppy Chain Agent</t>
  </si>
  <si>
    <t>B11, 5th Floor, Building 305, Huaqiang North Shangbu Industrial Zone, Futian District, Shenzhen</t>
  </si>
  <si>
    <t>WM8326GEFL00E</t>
  </si>
  <si>
    <t>53124</t>
  </si>
  <si>
    <t>WM8326GEFL00E/RV</t>
  </si>
  <si>
    <t>EP7309</t>
  </si>
  <si>
    <t>119856</t>
  </si>
  <si>
    <t>EP7309-CV</t>
  </si>
  <si>
    <t>CS4362</t>
  </si>
  <si>
    <t>400890</t>
  </si>
  <si>
    <t>CS4362-KQZR</t>
  </si>
  <si>
    <t>CS230009</t>
  </si>
  <si>
    <t>412338</t>
  </si>
  <si>
    <t>CS230009-CZZR</t>
  </si>
  <si>
    <t>6800969</t>
  </si>
  <si>
    <t>6800972</t>
  </si>
  <si>
    <t>6800995</t>
  </si>
  <si>
    <t>CS8900A-CQ</t>
  </si>
  <si>
    <t>6800996</t>
  </si>
  <si>
    <t>CS8900A-CQ3</t>
  </si>
  <si>
    <t>6800997</t>
  </si>
  <si>
    <t>CS3310-KS</t>
  </si>
  <si>
    <t>6801007</t>
  </si>
  <si>
    <t>CS8900A-IQ</t>
  </si>
  <si>
    <t>CS8406</t>
  </si>
  <si>
    <t>6801011</t>
  </si>
  <si>
    <t>CS8406-CS</t>
  </si>
  <si>
    <t>6801026</t>
  </si>
  <si>
    <t>CS8401A</t>
  </si>
  <si>
    <t>6828601</t>
  </si>
  <si>
    <t>CS8401A-CS</t>
  </si>
  <si>
    <t>https://www.aipcba.com/part/cs4344czzr-cm203961.html</t>
  </si>
  <si>
    <t>cs4344czzr-cm203961</t>
  </si>
  <si>
    <t>Everychina.com</t>
  </si>
  <si>
    <t>SHAREWAY TECHNOLOGY CO., LTD.</t>
  </si>
  <si>
    <t>https://smpsflybacktransformer.sell.everychina.com/</t>
  </si>
  <si>
    <t>706, Huafa xiezilou ,Huafa North Rd., Gongming Street , 518106 , SHEN ZHEN ,CHINA</t>
  </si>
  <si>
    <t>p-111440340</t>
  </si>
  <si>
    <t>p-z52f0606</t>
  </si>
  <si>
    <t>L235</t>
  </si>
  <si>
    <t>L236</t>
  </si>
  <si>
    <t>L237</t>
  </si>
  <si>
    <t>L238</t>
  </si>
  <si>
    <t>L239</t>
  </si>
  <si>
    <t>L240</t>
  </si>
  <si>
    <t>L241</t>
  </si>
  <si>
    <t>L242</t>
  </si>
  <si>
    <t>L243</t>
  </si>
  <si>
    <t>L244</t>
  </si>
  <si>
    <t>L245</t>
  </si>
  <si>
    <t>L246</t>
  </si>
  <si>
    <t>L247</t>
  </si>
  <si>
    <t>L248</t>
  </si>
  <si>
    <t>L249</t>
  </si>
  <si>
    <t>L250</t>
  </si>
  <si>
    <t>L251</t>
  </si>
  <si>
    <t>Mar</t>
  </si>
  <si>
    <t>Feedback from ABC Company team</t>
  </si>
  <si>
    <t>Mentioned "Manufacturer" in store front and Advertising ABC Company Product on High Discount of 71% with minimum order quantity of 4000, also there is variations in the features of the product.</t>
  </si>
  <si>
    <t>Advertising Discontinued ABC Company Product with High inventory of Over 5000 pieces</t>
  </si>
  <si>
    <t>CS4272-CZZR ABC Company 100% Brand New and Original Audio Interface IC 5.25V 24bit 192khz 114dB 2ADC CS4272</t>
  </si>
  <si>
    <t>ABC Company 100% Brand New and Original Audio Interface IC 5.25V 24bit 192khz 114dB 2ADC CS4272 CS4272-CZZR</t>
  </si>
  <si>
    <t>CS35L41B-CWZR ABC Company Authorized Resource &amp; Competitive Price</t>
  </si>
  <si>
    <t>Claiming to be Franchised Distributor, Product code not available on official Website, Advertisng photo have mentioned ABC Company and Worlway on top</t>
  </si>
  <si>
    <t>CS4272-CZZR ABC Company | IC CODEC AUD 24BIT 114DB 28TSSOP</t>
  </si>
  <si>
    <t>Specializing in ABC Company /Lingyun CS4361-CZZR CS4361CZZ audio processing IC</t>
  </si>
  <si>
    <t>Specializing in ABC Company/ Lingyun CS42L52-CNZR 42L52CNZ audio processing IC</t>
  </si>
  <si>
    <t>Specializing in ABC Company CS42L51-CNZR CS42L51C original package audio processing IC</t>
  </si>
  <si>
    <t>Franchise ABC Company/ Lingyun CS5340-CZZR 5340CZZ audio processing original package</t>
  </si>
  <si>
    <t>Franchise ABC Company/ Lingyun CS8900A-IQ3Z CS8900A original package Ethernet control</t>
  </si>
  <si>
    <t>Specialized/Lingyun CS5460A-BSZ ABC Company 5460A-BSZ audio processing</t>
  </si>
  <si>
    <t>CS4334-KSR CS4334 SOP8 ABC Company Lingyun 24BIT 96KHz Audio D A</t>
  </si>
  <si>
    <t>CS5368-CQZR LQFP48 ABC Company ADC Converter Audio to digital to analog 114dB</t>
  </si>
  <si>
    <t>Model WM9714CLGEFL/RV Brand: Lingyun ABC Company package QFN48 original</t>
  </si>
  <si>
    <t>Model WM8804GEDS/RV Brand: Lingyun ABC Company Package : SSOP20 Original Stock</t>
  </si>
  <si>
    <t>Model WM8758CBGEFL/RV Brand: Lingyun ABC Company Package QFN32 Original</t>
  </si>
  <si>
    <t>Model WM8960CGEFL/RV Brand: Lingyun ABC Company Package : QFN32 Original Stock</t>
  </si>
  <si>
    <t>Model:CS5368-CQZ Brand: Lingyun ABC Company Package : LQFP48 Original Stock</t>
  </si>
  <si>
    <t>Model WM9713CLGEFL/RV Brand: Lingyun ABC Company Package : QFN48 Original In stock</t>
  </si>
  <si>
    <t>Claiming to be Franchised Distributor, Advertisng photo have mentioned ABC Company and Worlway on top</t>
  </si>
  <si>
    <t>ABC Company AUDIO CARD ABC Company ABC Company AUDIO CARD FOR RASPBERRY PI</t>
  </si>
  <si>
    <t>ABC Company CS5510-ASZ ABC Company A/D Converter (A-D) IC Resolution (Bits):16 Sample Rate:53 SPS Input Channel Type:Differential Data Interface:Serial Supply Voltage Range:4.75V to 5.25V Digital IC Case Style:SOIC No. of Pins:8 RoHS Compliant: Yes</t>
  </si>
  <si>
    <t>ABC Company CS3318-CQZ INTEGRATED CIRCUIT ABC Company 8-CHANNEL ANALOG VOLUME CONTROL IC Audio Control Type:Audio Amplifier with Volume Control Control Interface:Serial, I2C Applications:High-End Audio Systems Supply Voltage Range:3.1V to 3.5V RoHS Compliant: Yes</t>
  </si>
  <si>
    <t>ABC Company WM7132PIMSE/RV ABC Company Electronic Components ICs</t>
  </si>
  <si>
    <t>ABC Company WM7331IMSE/RV ABC Company Electronic Components ICs</t>
  </si>
  <si>
    <t>ABC Company CL-PD6729-QC-C ABC Company Electronic Components ICs</t>
  </si>
  <si>
    <t>ABC Company CL-PD6832-QC-B ABC Company Electronic Components ICs</t>
  </si>
  <si>
    <t>ABC Company CS61884-IB ABC Company Electronic Components ICs</t>
  </si>
  <si>
    <t>ABC Company CL-PD6720-QC-B ABC Company Electronic Components ICs</t>
  </si>
  <si>
    <t>ABC Company CS3310-KS ABC Company Electronic Components ICs</t>
  </si>
  <si>
    <t>ABC Company CS3310-KSZ ABC Company Electronic Components ICs</t>
  </si>
  <si>
    <t>ABC Company CS3310-KSZR ABC Company Electronic Components ICs</t>
  </si>
  <si>
    <t>ABC Company CS3511-CNZ ABC Company Electronic Components ICs</t>
  </si>
  <si>
    <t>ABC Company CL-GD610-32QC-C ABC Company Electronic Components ICs</t>
  </si>
  <si>
    <t>ABC Company CS53L30-CWZR ABC Company Electronic Components ICs</t>
  </si>
  <si>
    <t>ABC Company CS53L32A-KZZR</t>
  </si>
  <si>
    <t>ABC Company CS4335-KSZR</t>
  </si>
  <si>
    <t>ABC Company CS4213D-CNZR</t>
  </si>
  <si>
    <t>ABC Company CS4334-DSZR</t>
  </si>
  <si>
    <t>ABC Company CS4344-DZZR</t>
  </si>
  <si>
    <t>CS4270-CZZ - ABC Company Inc. | IC CODEC 24BIT 105DB 24TSSOP</t>
  </si>
  <si>
    <t>ABC Company Current &amp; Power Monitors, Regulators CS5460A-BSZ /Lingyun Original Channels</t>
  </si>
  <si>
    <t>ABC Company supply product CS4954-CQZ</t>
  </si>
  <si>
    <t>China Chip Suppliers Cs4272-czzr Logic 100% Brand Audio Interface Ic 5.25v 24bit 192khz 114db 2adc Cs4272 ABC Company - Buy China Chip Suppliers Are Used For Multimedia And Audio Integrated Circuits Audio Product on Alibaba.com</t>
  </si>
  <si>
    <t>CS4344-CZZR ABC Company</t>
  </si>
  <si>
    <t>ABC Company Inc. CS4344-CZZR</t>
  </si>
  <si>
    <t>16 Pin Digital Audio Transformer Single Dual Channel For ABC Company</t>
  </si>
  <si>
    <t>100% Brand New and Original CS4272-CZZR CS4272 Audio Interface IC 5.25V 24bit 192khz 114dB 2ADC ABC Company</t>
  </si>
  <si>
    <t>https://www.alibaba.com/product-detail/5340CZZ-CS5340-CZZ-CS5340CZ-ABC Company-Logic_62107884285.html</t>
  </si>
  <si>
    <t>5340CZZ CS5340-CZZ CS5340CZ - Audio A/D Converter ICs 101dB 192kHz ABC Company</t>
  </si>
  <si>
    <t>Product shipped to ABC Company Austin Office.</t>
  </si>
  <si>
    <t>Determined Authentic by ABC Company team after analysis</t>
  </si>
  <si>
    <t>https://www.alibaba.com/product-detail/ABC Company-Logic-In-Stock-New-Electronic_1601017115051.html</t>
  </si>
  <si>
    <t>In Stock New Electronic Components Original Integrated Circuit IC Chip ABC Company</t>
  </si>
  <si>
    <t>https://www.alibaba.com/product-detail/CS4272-CZZR-ABC Company-Logic-100-Brand_1601185336834.html</t>
  </si>
  <si>
    <t xml:space="preserve">https://www.alibaba.com/product-detail/ABC Company-Logic-100-Brand-New-and_1601185303889.html </t>
  </si>
  <si>
    <t>Awaiting ABC Company team Confirmation</t>
  </si>
  <si>
    <t>ABC Company and Authentix should revisit test purchasing.</t>
  </si>
  <si>
    <t>https://www.worldwayic.com/pro/ABC Company-logic/cs35l41b-cwzr/12484088</t>
  </si>
  <si>
    <t>Indicated authentic by ABC Company team: Final decision pending</t>
  </si>
  <si>
    <t>ABC Company Team evaluating Test-Purchased product</t>
  </si>
  <si>
    <t xml:space="preserve">Authentix should confirm URL listing. If still the same, they need to send modified complaint. ABC Company to have Authentix confirm that test purchased part was sent to us. </t>
  </si>
  <si>
    <t xml:space="preserve">Authentix needs to update ABC Company on status of test purchase initiated on 13 Oct 2025. ABC Company to have Authentix confirm that test purchased part was sent to us. </t>
  </si>
  <si>
    <t>ABC Company CS5530-ISZ SSOP-20_208mil</t>
  </si>
  <si>
    <t>Not to be filed as per ABC Company team instructions</t>
  </si>
  <si>
    <t>CS3310-KSZ CS3310 SOP16 ABC Company Digital Volume Control Audio Interface Chip</t>
  </si>
  <si>
    <t>ABC Company querying Authentix on whether they sent the complaint?</t>
  </si>
  <si>
    <t>Complaint Rejected by Platform - No further action taken as per ABC Company Team instructions</t>
  </si>
  <si>
    <t>https://www.worldwayic.com/pro/ABC Company-logic/ABC Company4208-crz/3727473</t>
  </si>
  <si>
    <t>ABC Company 4208-CRZ ABC Company Electronic Components ICs</t>
  </si>
  <si>
    <t>https://www.worldwayic.com/pro/ABC Company-logic/ABC Companylogicaudiocard/12178401</t>
  </si>
  <si>
    <t>https://www.worldwayic.com/pro/ABC Company-logic/ABC Company091228/3727474</t>
  </si>
  <si>
    <t>ABC Company091228 ABC Company Electronic Components ICs</t>
  </si>
  <si>
    <t>https://www.worldwayic.com/pro/ABC Company-logic/ABC Company4208-crz/3727475</t>
  </si>
  <si>
    <t>ABC Company4208-CRZ ABC Company Electronic Components ICs</t>
  </si>
  <si>
    <t>https://www.worldwayic.com/pro/ABC Company/ABC Company-wm8960cgefl/13988796</t>
  </si>
  <si>
    <t>ABC Company-WM8960CGEFL ABC Company Electronic Components ICs</t>
  </si>
  <si>
    <t>https://www.worldwayic.com/pro/ABC Company-logic/ABC Companylogiccs5510-asz/14087097</t>
  </si>
  <si>
    <t>https://www.worldwayic.com/pro/ABC Company-logic/ABC Companylogiccs3318-cqzintegratedcircuit/14087409</t>
  </si>
  <si>
    <t>https://www.worldwayic.com/pro/ABC Company-logic/ABC Companylogic-cs44600-cqz/14087410</t>
  </si>
  <si>
    <t>ABC CompanyLOGIC-CS44600-CQZ ABC Company Description AUDIO AMP, DIG CONTR, 192KHZ, 64LQFP Audio Control Type: Digital Amplifier Controller Control Interface:...</t>
  </si>
  <si>
    <t>https://www.worldwayic.com/pro/ABC Company-logic/ABC Companylogicwm7132pimserv/14110457</t>
  </si>
  <si>
    <t>https://www.worldwayic.com/pro/ABC Company-logic/ABC Companylogicwm7331imserv/14110470</t>
  </si>
  <si>
    <t>https://www.worldwayic.com/pro/ABC Company-logic/ABC Companylogiccl-pd6729-qc-c/14110492</t>
  </si>
  <si>
    <t>https://www.worldwayic.com/pro/ABC Company-logic/ABC Companylogiccl-pd6832-qc-b/14110554</t>
  </si>
  <si>
    <t>https://www.worldwayic.com/pro/ABC Company-logic/ABC Companylogiccs61884-ib/14110624</t>
  </si>
  <si>
    <t>https://www.worldwayic.com/pro/ABC Company-logic/ABC Companylogiccl-pd6720-qc-b/14110677</t>
  </si>
  <si>
    <t>https://www.worldwayic.com/pro/ABC Company-logic/ABC Companylogiccs3310-ks/14110723</t>
  </si>
  <si>
    <t>https://www.worldwayic.com/pro/ABC Company-logic/ABC Companylogiccs3310-ksz/14110727</t>
  </si>
  <si>
    <t>https://www.worldwayic.com/pro/ABC Company-logic/ABC Companylogiccs3310-kszr/14110749</t>
  </si>
  <si>
    <t>https://www.worldwayic.com/pro/ABC Company-logic/ABC Companylogiccs3511-cnz/14110750</t>
  </si>
  <si>
    <t>https://www.worldwayic.com/pro/ABC Company-logic/ABC Companylogiccl-gd610-32qc-c/14110768</t>
  </si>
  <si>
    <t>https://www.worldwayic.com/pro/ABC Company-logic/ABC Companylogiccs53l30-cwzr/14110856</t>
  </si>
  <si>
    <t>https://www.worldwayic.com/pro/ABC Company-logic/ABC Companylogiccs53l32a-kzzr/14110885</t>
  </si>
  <si>
    <t>https://www.worldwayic.com/pro/ABC Company-logic/ABC Companylogiccs4335-kszr/14110936</t>
  </si>
  <si>
    <t>https://www.worldwayic.com/pro/ABC Company-logic/ABC Companylogiccs4213d-cnzr/14110971</t>
  </si>
  <si>
    <t>https://www.worldwayic.com/pro/ABC Company-logic/ABC Companylogiccs4334-dszr/14110988</t>
  </si>
  <si>
    <t xml:space="preserve">ABC Company and Authentix should revisit test purchasing. </t>
  </si>
  <si>
    <t>https://www.bostk.com/product-detail/ABC Company-logic-cs4344-dzzr-978453</t>
  </si>
  <si>
    <t>https://www.allelcoelec.com/productdetails/ABC Company-Logic/CS4270-CZZ.html?srsltid=AfmBOoqDXHxXT8IyasufXZRAZxc2yUjY8wx4fQkd7Ud7obQABQih7vLS</t>
  </si>
  <si>
    <t>ABC Company Agent main CS4385-CQZR original genuine CS4385-CQZ stock spot hot sale</t>
  </si>
  <si>
    <t>ABC Company querying Authentix on whether they sent a redrafted complaint?</t>
  </si>
  <si>
    <t>ABC Company team requested an additional review for any “suspicious and potentially illegitimate images.” Upon review, we did not find any suspicious or copyrighted images used in these listings.</t>
  </si>
  <si>
    <t>the main ABC Company Agent of CS4385-CQZR original genuine CS4385-CQZ integrated circuit</t>
  </si>
  <si>
    <t>ABC Company Matterson Technology EP9307-IRZ processor chip BGA</t>
  </si>
  <si>
    <t>ABC Company Supply CS8900A-CQ, original genuine, package QFP100, CS8900A-CQ, professional order</t>
  </si>
  <si>
    <t>ABC Company querying Authenitx on whether they found out about inventory level?</t>
  </si>
  <si>
    <t>ABC Company ABC Company Supply  Decryption,  Shenzhen Decryption,  Huaqiangbei Decryption</t>
  </si>
  <si>
    <t>ABC Company ABC Company Supply  Partial Door Partial Door Disruption, Partial Disruption of  Shenzhen Partial Disruption of Disruption, Partial Disruption of  China Partial Disruption of Disruption of Production</t>
  </si>
  <si>
    <t>ABC Company ABC Company Supply  Hong Kong,  Hong Kong Supply,  Hong Kong Stock</t>
  </si>
  <si>
    <t>ABC Company ABC Company Supply  Distributor,  Shenzhen Distributor,  China Distributor</t>
  </si>
  <si>
    <t>ABC Company New original CS5463-ISZ gauge IC SMD 8-bit resolution SSOP-24 package  Lingyun</t>
  </si>
  <si>
    <t>ABC Company</t>
  </si>
  <si>
    <t>https://www.e-linktrader.com/products/detail/ABC Company-Logic/WM8326GEFL00E-RV/53124.html</t>
  </si>
  <si>
    <t>https://www.e-linktrader.com/products/detail/ABC Company-Logic/EP7309-CV/119856.html</t>
  </si>
  <si>
    <t>https://www.e-linktrader.com/products/detail/ABC Company-Logic/CS4362-KQZR/400890.html</t>
  </si>
  <si>
    <t>https://www.e-linktrader.com/products/detail/ABC Company-Logic/CS230009-CZZR/412338.html</t>
  </si>
  <si>
    <t>https://www.e-linktrader.com/products/detail/ABC Company-Logic/CS4334/6800969.html</t>
  </si>
  <si>
    <t>https://www.e-linktrader.com/products/detail/ABC Company-Logic/CS4344/6800972.html</t>
  </si>
  <si>
    <t>https://www.e-linktrader.com/products/detail/ABC Company-Logic/CS8900A-CQ/6800995.html</t>
  </si>
  <si>
    <t>https://www.e-linktrader.com/products/detail/ABC Company-Logic/CS8900A-CQ3/6800996.html</t>
  </si>
  <si>
    <t>https://www.e-linktrader.com/products/detail/ABC Company-Logic/CS3310-KS/6800997.html</t>
  </si>
  <si>
    <t>https://www.e-linktrader.com/products/detail/ABC Company-Logic/CS8900A-IQ/6801007.html</t>
  </si>
  <si>
    <t>https://www.e-linktrader.com/products/detail/ABC Company-Logic/CS8406-CS/6801011.html</t>
  </si>
  <si>
    <t>https://www.e-linktrader.com/products/detail/ABC Company-Logic/CS5340/6801026.html</t>
  </si>
  <si>
    <t>https://www.e-linktrader.com/products/detail/ABC Company-Logic/CS8401A-CS/6828601.html</t>
  </si>
  <si>
    <t>https://www.dasenic.com/product/ABC Company-logic-inc-cs4344-czzr-4433760</t>
  </si>
  <si>
    <t>ABC Company-logic-inc-cs4344-czzr-4433760</t>
  </si>
  <si>
    <t>https://smpsflybacktransformer.sell.everychina.com/p-111440340-16-pin-digital-audio-transformer-single-dual-channel-for-ABC Company-logic.html</t>
  </si>
  <si>
    <t>https://www.everychina.com/p-z52f0606-111440340-16-pin-digital-audio-transformer-single-dual-channel-for-ABC Company-logic.html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</si>
</sst>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m/yyyy"/>
    <numFmt numFmtId="165" formatCode="mmm/yyyy"/>
  </numFmts>
  <fonts count="20" x14ac:knownFonts="1">
    <font>
      <sz val="11"/>
      <color theme="1"/>
      <name val="Aptos Narrow"/>
      <family val="2"/>
      <scheme val="minor"/>
    </font>
    <font>
      <sz val="11"/>
      <color theme="1"/>
      <name val="Aptos Narrow"/>
      <family val="2"/>
      <scheme val="minor"/>
    </font>
    <font>
      <sz val="8"/>
      <name val="Aptos Narrow"/>
      <family val="2"/>
      <scheme val="minor"/>
    </font>
    <font>
      <u/>
      <sz val="11"/>
      <color theme="10"/>
      <name val="Aptos Narrow"/>
      <family val="2"/>
      <scheme val="minor"/>
    </font>
    <font>
      <b/>
      <sz val="9"/>
      <color theme="0"/>
      <name val="Times New Roman"/>
      <family val="1"/>
    </font>
    <font>
      <sz val="9"/>
      <color theme="1"/>
      <name val="Times New Roman"/>
      <family val="1"/>
    </font>
    <font>
      <u/>
      <sz val="9"/>
      <color theme="10"/>
      <name val="Times New Roman"/>
      <family val="1"/>
    </font>
    <font>
      <sz val="9"/>
      <color rgb="FF000000"/>
      <name val="Times New Roman"/>
      <family val="1"/>
    </font>
    <font>
      <b/>
      <sz val="11"/>
      <color theme="0"/>
      <name val="Aptos Display"/>
      <family val="2"/>
    </font>
    <font>
      <b/>
      <sz val="18"/>
      <color theme="0"/>
      <name val="Aptos Display"/>
      <family val="2"/>
    </font>
    <font>
      <b/>
      <sz val="11"/>
      <color rgb="FFFFFFFF"/>
      <name val="Aptos Display"/>
      <family val="2"/>
    </font>
    <font>
      <b/>
      <sz val="28"/>
      <color rgb="FFFFFFFF"/>
      <name val="Aptos Display"/>
      <family val="2"/>
    </font>
    <font>
      <b/>
      <sz val="28"/>
      <color theme="0"/>
      <name val="Aptos Display"/>
      <family val="2"/>
    </font>
    <font>
      <b/>
      <sz val="16"/>
      <color theme="0"/>
      <name val="Aptos Display"/>
      <family val="2"/>
    </font>
    <font>
      <sz val="20"/>
      <color theme="1"/>
      <name val="Aptos Narrow"/>
      <family val="2"/>
      <scheme val="minor"/>
    </font>
    <font>
      <sz val="9"/>
      <color rgb="FF000000"/>
      <name val="Times New Roman"/>
      <charset val="1"/>
    </font>
    <font>
      <sz val="11"/>
      <color rgb="FFFF0000"/>
      <name val="Aptos Narrow"/>
      <family val="2"/>
      <scheme val="minor"/>
    </font>
    <font>
      <b/>
      <sz val="14"/>
      <color theme="3" tint="9.9978637043366805E-2"/>
      <name val="Aptos Display"/>
      <family val="2"/>
      <scheme val="major"/>
    </font>
    <font>
      <b/>
      <sz val="13"/>
      <color theme="3" tint="9.9978637043366805E-2"/>
      <name val="Aptos Display"/>
      <family val="2"/>
      <scheme val="major"/>
    </font>
    <font>
      <sz val="13"/>
      <color theme="3" tint="9.9978637043366805E-2"/>
      <name val="Aptos Display"/>
      <family val="2"/>
      <scheme val="major"/>
    </font>
  </fonts>
  <fills count="26">
    <fill>
      <patternFill patternType="none"/>
    </fill>
    <fill>
      <patternFill patternType="gray125"/>
    </fill>
    <fill>
      <patternFill patternType="solid">
        <fgColor theme="4" tint="0.39997558519241921"/>
        <bgColor indexed="64"/>
      </patternFill>
    </fill>
    <fill>
      <patternFill patternType="solid">
        <fgColor theme="3" tint="0.249977111117893"/>
        <bgColor indexed="64"/>
      </patternFill>
    </fill>
    <fill>
      <patternFill patternType="solid">
        <fgColor theme="5" tint="-0.249977111117893"/>
        <bgColor indexed="64"/>
      </patternFill>
    </fill>
    <fill>
      <patternFill patternType="solid">
        <fgColor theme="9" tint="-0.249977111117893"/>
        <bgColor indexed="64"/>
      </patternFill>
    </fill>
    <fill>
      <patternFill patternType="solid">
        <fgColor theme="3" tint="9.9978637043366805E-2"/>
        <bgColor indexed="64"/>
      </patternFill>
    </fill>
    <fill>
      <patternFill patternType="solid">
        <fgColor theme="4" tint="-0.249977111117893"/>
        <bgColor indexed="64"/>
      </patternFill>
    </fill>
    <fill>
      <patternFill patternType="solid">
        <fgColor rgb="FFC00000"/>
        <bgColor indexed="64"/>
      </patternFill>
    </fill>
    <fill>
      <patternFill patternType="solid">
        <fgColor theme="3"/>
        <bgColor indexed="64"/>
      </patternFill>
    </fill>
    <fill>
      <patternFill patternType="solid">
        <fgColor theme="5" tint="-0.499984740745262"/>
        <bgColor indexed="64"/>
      </patternFill>
    </fill>
    <fill>
      <patternFill patternType="solid">
        <fgColor theme="4" tint="-0.499984740745262"/>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002060"/>
        <bgColor indexed="64"/>
      </patternFill>
    </fill>
    <fill>
      <patternFill patternType="solid">
        <fgColor theme="2" tint="-0.499984740745262"/>
        <bgColor indexed="64"/>
      </patternFill>
    </fill>
    <fill>
      <patternFill patternType="solid">
        <fgColor rgb="FF92D050"/>
        <bgColor indexed="64"/>
      </patternFill>
    </fill>
    <fill>
      <patternFill patternType="solid">
        <fgColor rgb="FF00B050"/>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rgb="FFED301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8" tint="0.39997558519241921"/>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style="medium">
        <color indexed="64"/>
      </right>
      <top style="thin">
        <color indexed="64"/>
      </top>
      <bottom/>
      <diagonal/>
    </border>
    <border>
      <left/>
      <right style="thin">
        <color indexed="64"/>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bottom style="medium">
        <color indexed="64"/>
      </bottom>
      <diagonal/>
    </border>
    <border>
      <left/>
      <right/>
      <top style="medium">
        <color indexed="64"/>
      </top>
      <bottom/>
      <diagonal/>
    </border>
    <border>
      <left/>
      <right/>
      <top style="medium">
        <color indexed="64"/>
      </top>
      <bottom style="thin">
        <color theme="1"/>
      </bottom>
      <diagonal/>
    </border>
    <border>
      <left/>
      <right/>
      <top style="thin">
        <color theme="1"/>
      </top>
      <bottom/>
      <diagonal/>
    </border>
    <border>
      <left/>
      <right/>
      <top style="thin">
        <color theme="1"/>
      </top>
      <bottom style="medium">
        <color indexed="64"/>
      </bottom>
      <diagonal/>
    </border>
    <border>
      <left/>
      <right style="medium">
        <color theme="3" tint="9.9948118533890809E-2"/>
      </right>
      <top style="medium">
        <color indexed="64"/>
      </top>
      <bottom/>
      <diagonal/>
    </border>
    <border>
      <left/>
      <right style="medium">
        <color theme="3" tint="9.9948118533890809E-2"/>
      </right>
      <top/>
      <bottom/>
      <diagonal/>
    </border>
    <border>
      <left/>
      <right style="medium">
        <color theme="3" tint="9.9948118533890809E-2"/>
      </right>
      <top/>
      <bottom style="medium">
        <color indexed="64"/>
      </bottom>
      <diagonal/>
    </border>
    <border>
      <left style="medium">
        <color theme="3" tint="9.9948118533890809E-2"/>
      </left>
      <right/>
      <top style="medium">
        <color indexed="64"/>
      </top>
      <bottom/>
      <diagonal/>
    </border>
    <border>
      <left style="medium">
        <color theme="3" tint="9.9948118533890809E-2"/>
      </left>
      <right/>
      <top/>
      <bottom/>
      <diagonal/>
    </border>
    <border>
      <left style="thin">
        <color indexed="64"/>
      </left>
      <right style="thin">
        <color indexed="64"/>
      </right>
      <top/>
      <bottom/>
      <diagonal/>
    </border>
  </borders>
  <cellStyleXfs count="3">
    <xf numFmtId="0" fontId="0" fillId="0" borderId="0"/>
    <xf numFmtId="9" fontId="1" fillId="0" borderId="0" applyFont="0" applyFill="0" applyBorder="0" applyAlignment="0" applyProtection="0"/>
    <xf numFmtId="0" fontId="3" fillId="0" borderId="0" applyNumberFormat="0" applyFill="0" applyBorder="0" applyAlignment="0" applyProtection="0"/>
  </cellStyleXfs>
  <cellXfs count="173">
    <xf numFmtId="0" fontId="0" fillId="0" borderId="0" xfId="0"/>
    <xf numFmtId="0" fontId="0" fillId="0" borderId="0" xfId="0" applyAlignment="1">
      <alignment horizontal="center"/>
    </xf>
    <xf numFmtId="0" fontId="0" fillId="0" borderId="0" xfId="0" applyAlignment="1">
      <alignment wrapText="1"/>
    </xf>
    <xf numFmtId="0" fontId="0" fillId="0" borderId="0" xfId="0" applyAlignment="1">
      <alignment horizontal="left"/>
    </xf>
    <xf numFmtId="1" fontId="0" fillId="0" borderId="0" xfId="0" applyNumberFormat="1" applyAlignment="1">
      <alignment horizontal="left"/>
    </xf>
    <xf numFmtId="0" fontId="5" fillId="0" borderId="1" xfId="0" applyFont="1" applyBorder="1" applyAlignment="1">
      <alignment horizontal="left" vertical="center"/>
    </xf>
    <xf numFmtId="165" fontId="5" fillId="0" borderId="1" xfId="0" applyNumberFormat="1" applyFont="1" applyBorder="1" applyAlignment="1">
      <alignment horizontal="left" vertical="center"/>
    </xf>
    <xf numFmtId="1" fontId="5" fillId="0" borderId="1" xfId="0" applyNumberFormat="1" applyFont="1" applyBorder="1" applyAlignment="1">
      <alignment horizontal="left" vertical="center"/>
    </xf>
    <xf numFmtId="0" fontId="5" fillId="0" borderId="1" xfId="0" applyFont="1" applyBorder="1" applyAlignment="1">
      <alignment horizontal="center" vertical="center"/>
    </xf>
    <xf numFmtId="0" fontId="5" fillId="0" borderId="1" xfId="0" applyFont="1" applyBorder="1" applyAlignment="1">
      <alignment vertical="center"/>
    </xf>
    <xf numFmtId="9" fontId="5" fillId="0" borderId="1" xfId="1" applyFont="1" applyBorder="1" applyAlignment="1">
      <alignment horizontal="center" vertical="center"/>
    </xf>
    <xf numFmtId="164" fontId="5" fillId="0" borderId="1" xfId="0" applyNumberFormat="1" applyFont="1" applyBorder="1" applyAlignment="1">
      <alignment horizontal="center" vertical="center"/>
    </xf>
    <xf numFmtId="0" fontId="6" fillId="0" borderId="1" xfId="2" applyFont="1" applyFill="1" applyBorder="1" applyAlignment="1">
      <alignment horizontal="center"/>
    </xf>
    <xf numFmtId="0" fontId="5" fillId="0" borderId="1" xfId="0" quotePrefix="1" applyFont="1" applyBorder="1" applyAlignment="1">
      <alignment vertical="center"/>
    </xf>
    <xf numFmtId="0" fontId="5" fillId="12" borderId="1" xfId="0" applyFont="1" applyFill="1" applyBorder="1" applyAlignment="1">
      <alignment horizontal="left" vertical="center"/>
    </xf>
    <xf numFmtId="165" fontId="5" fillId="12" borderId="1" xfId="0" applyNumberFormat="1" applyFont="1" applyFill="1" applyBorder="1" applyAlignment="1">
      <alignment horizontal="left" vertical="center"/>
    </xf>
    <xf numFmtId="1" fontId="5" fillId="12" borderId="1" xfId="0" applyNumberFormat="1" applyFont="1" applyFill="1" applyBorder="1" applyAlignment="1">
      <alignment horizontal="left" vertical="center"/>
    </xf>
    <xf numFmtId="0" fontId="5" fillId="12" borderId="1" xfId="0" applyFont="1" applyFill="1" applyBorder="1" applyAlignment="1">
      <alignment horizontal="center" vertical="center"/>
    </xf>
    <xf numFmtId="0" fontId="5" fillId="12" borderId="1" xfId="0" applyFont="1" applyFill="1" applyBorder="1" applyAlignment="1">
      <alignment vertical="center"/>
    </xf>
    <xf numFmtId="9" fontId="5" fillId="12" borderId="1" xfId="1" applyFont="1" applyFill="1" applyBorder="1" applyAlignment="1">
      <alignment horizontal="center" vertical="center"/>
    </xf>
    <xf numFmtId="0" fontId="6" fillId="12" borderId="1" xfId="2" applyFont="1" applyFill="1" applyBorder="1" applyAlignment="1">
      <alignment horizontal="center"/>
    </xf>
    <xf numFmtId="164" fontId="5" fillId="12" borderId="1" xfId="0" applyNumberFormat="1" applyFont="1" applyFill="1" applyBorder="1" applyAlignment="1">
      <alignment horizontal="center" vertical="center"/>
    </xf>
    <xf numFmtId="0" fontId="0" fillId="12" borderId="0" xfId="0" applyFill="1"/>
    <xf numFmtId="9" fontId="5" fillId="0" borderId="1" xfId="1" applyFont="1" applyFill="1" applyBorder="1" applyAlignment="1">
      <alignment horizontal="center" vertical="center"/>
    </xf>
    <xf numFmtId="0" fontId="5" fillId="13" borderId="1" xfId="0" applyFont="1" applyFill="1" applyBorder="1" applyAlignment="1">
      <alignment horizontal="left" vertical="center"/>
    </xf>
    <xf numFmtId="165" fontId="5" fillId="13" borderId="1" xfId="0" applyNumberFormat="1" applyFont="1" applyFill="1" applyBorder="1" applyAlignment="1">
      <alignment horizontal="left" vertical="center"/>
    </xf>
    <xf numFmtId="1" fontId="5" fillId="13" borderId="1" xfId="0" applyNumberFormat="1" applyFont="1" applyFill="1" applyBorder="1" applyAlignment="1">
      <alignment horizontal="left" vertical="center"/>
    </xf>
    <xf numFmtId="0" fontId="5" fillId="13" borderId="1" xfId="0" applyFont="1" applyFill="1" applyBorder="1" applyAlignment="1">
      <alignment horizontal="center" vertical="center"/>
    </xf>
    <xf numFmtId="0" fontId="5" fillId="13" borderId="1" xfId="0" applyFont="1" applyFill="1" applyBorder="1" applyAlignment="1">
      <alignment vertical="center"/>
    </xf>
    <xf numFmtId="9" fontId="5" fillId="13" borderId="1" xfId="1" applyFont="1" applyFill="1" applyBorder="1" applyAlignment="1">
      <alignment horizontal="center" vertical="center"/>
    </xf>
    <xf numFmtId="0" fontId="6" fillId="13" borderId="1" xfId="2" applyFont="1" applyFill="1" applyBorder="1" applyAlignment="1">
      <alignment horizontal="center"/>
    </xf>
    <xf numFmtId="164" fontId="5" fillId="13" borderId="1" xfId="0" applyNumberFormat="1" applyFont="1" applyFill="1" applyBorder="1" applyAlignment="1">
      <alignment horizontal="center" vertical="center"/>
    </xf>
    <xf numFmtId="0" fontId="0" fillId="13" borderId="0" xfId="0" applyFill="1"/>
    <xf numFmtId="0" fontId="0" fillId="0" borderId="0" xfId="0" pivotButton="1"/>
    <xf numFmtId="0" fontId="7" fillId="12" borderId="1" xfId="0" applyFont="1" applyFill="1" applyBorder="1"/>
    <xf numFmtId="0" fontId="5" fillId="0" borderId="2" xfId="0" applyFont="1" applyBorder="1" applyAlignment="1">
      <alignment horizontal="left" vertical="center"/>
    </xf>
    <xf numFmtId="0" fontId="5" fillId="12" borderId="2" xfId="0" applyFont="1" applyFill="1" applyBorder="1" applyAlignment="1">
      <alignment horizontal="left" vertical="center"/>
    </xf>
    <xf numFmtId="0" fontId="5" fillId="13" borderId="2" xfId="0" applyFont="1" applyFill="1" applyBorder="1" applyAlignment="1">
      <alignment horizontal="left" vertical="center"/>
    </xf>
    <xf numFmtId="0" fontId="5" fillId="0" borderId="3" xfId="0" applyFont="1" applyBorder="1" applyAlignment="1">
      <alignment vertical="center"/>
    </xf>
    <xf numFmtId="0" fontId="5" fillId="12" borderId="3" xfId="0" applyFont="1" applyFill="1" applyBorder="1" applyAlignment="1">
      <alignment vertical="center"/>
    </xf>
    <xf numFmtId="0" fontId="5" fillId="13" borderId="3" xfId="0" applyFont="1" applyFill="1" applyBorder="1" applyAlignment="1">
      <alignment vertical="center"/>
    </xf>
    <xf numFmtId="0" fontId="4" fillId="2" borderId="4" xfId="0" applyFont="1" applyFill="1" applyBorder="1" applyAlignment="1">
      <alignment horizontal="left" vertical="center" wrapText="1"/>
    </xf>
    <xf numFmtId="0" fontId="4" fillId="6" borderId="5" xfId="0" applyFont="1" applyFill="1" applyBorder="1" applyAlignment="1">
      <alignment horizontal="left" vertical="center" wrapText="1"/>
    </xf>
    <xf numFmtId="1" fontId="4" fillId="6" borderId="5" xfId="0" applyNumberFormat="1" applyFont="1" applyFill="1" applyBorder="1" applyAlignment="1">
      <alignment horizontal="left" vertical="center" wrapText="1"/>
    </xf>
    <xf numFmtId="0" fontId="4" fillId="3" borderId="5" xfId="0" applyFont="1" applyFill="1" applyBorder="1" applyAlignment="1">
      <alignment horizontal="left" vertical="center" wrapText="1"/>
    </xf>
    <xf numFmtId="0" fontId="4" fillId="7" borderId="5" xfId="0" applyFont="1" applyFill="1" applyBorder="1" applyAlignment="1">
      <alignment horizontal="center" vertical="center" wrapText="1"/>
    </xf>
    <xf numFmtId="0" fontId="4" fillId="7" borderId="5" xfId="0" applyFont="1" applyFill="1" applyBorder="1" applyAlignment="1">
      <alignment horizontal="left" vertical="center" wrapText="1"/>
    </xf>
    <xf numFmtId="2" fontId="4" fillId="7" borderId="5" xfId="0" applyNumberFormat="1" applyFont="1" applyFill="1" applyBorder="1" applyAlignment="1">
      <alignment horizontal="center" vertical="center" wrapText="1"/>
    </xf>
    <xf numFmtId="2" fontId="4" fillId="5" borderId="5" xfId="0" applyNumberFormat="1" applyFont="1" applyFill="1" applyBorder="1" applyAlignment="1">
      <alignment horizontal="center" vertical="center" wrapText="1"/>
    </xf>
    <xf numFmtId="9" fontId="4" fillId="5" borderId="5" xfId="1" applyFont="1" applyFill="1" applyBorder="1" applyAlignment="1">
      <alignment horizontal="center" vertical="center" wrapText="1"/>
    </xf>
    <xf numFmtId="0" fontId="4" fillId="4" borderId="5" xfId="0" applyFont="1" applyFill="1" applyBorder="1" applyAlignment="1">
      <alignment horizontal="center" vertical="center" wrapText="1"/>
    </xf>
    <xf numFmtId="0" fontId="4" fillId="8" borderId="5" xfId="0" applyFont="1" applyFill="1" applyBorder="1" applyAlignment="1">
      <alignment horizontal="center" vertical="center" wrapText="1"/>
    </xf>
    <xf numFmtId="0" fontId="4" fillId="8" borderId="5" xfId="0" applyFont="1" applyFill="1" applyBorder="1" applyAlignment="1">
      <alignment horizontal="left" vertical="center" wrapText="1"/>
    </xf>
    <xf numFmtId="0" fontId="4" fillId="9" borderId="5" xfId="0" applyFont="1" applyFill="1" applyBorder="1" applyAlignment="1">
      <alignment horizontal="center" vertical="center" wrapText="1"/>
    </xf>
    <xf numFmtId="0" fontId="4" fillId="9" borderId="5" xfId="0" applyFont="1" applyFill="1" applyBorder="1" applyAlignment="1">
      <alignment horizontal="left" vertical="center" wrapText="1"/>
    </xf>
    <xf numFmtId="0" fontId="4" fillId="10" borderId="5" xfId="0" applyFont="1" applyFill="1" applyBorder="1" applyAlignment="1">
      <alignment horizontal="center" vertical="center" wrapText="1"/>
    </xf>
    <xf numFmtId="0" fontId="4" fillId="11" borderId="5" xfId="0" applyFont="1" applyFill="1" applyBorder="1" applyAlignment="1">
      <alignment horizontal="center" vertical="center" wrapText="1"/>
    </xf>
    <xf numFmtId="0" fontId="4" fillId="6" borderId="5"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6" borderId="6" xfId="0" applyFont="1" applyFill="1" applyBorder="1" applyAlignment="1">
      <alignment horizontal="center" vertical="center" wrapText="1"/>
    </xf>
    <xf numFmtId="0" fontId="5" fillId="0" borderId="7" xfId="0" applyFont="1" applyBorder="1" applyAlignment="1">
      <alignment horizontal="left" vertical="center"/>
    </xf>
    <xf numFmtId="165" fontId="5" fillId="0" borderId="8" xfId="0" applyNumberFormat="1" applyFont="1" applyBorder="1" applyAlignment="1">
      <alignment horizontal="left" vertical="center"/>
    </xf>
    <xf numFmtId="1" fontId="5" fillId="0" borderId="8" xfId="0" applyNumberFormat="1" applyFont="1" applyBorder="1" applyAlignment="1">
      <alignment horizontal="left" vertical="center"/>
    </xf>
    <xf numFmtId="0" fontId="5" fillId="0" borderId="8" xfId="0" applyFont="1" applyBorder="1" applyAlignment="1">
      <alignment horizontal="left" vertical="center"/>
    </xf>
    <xf numFmtId="0" fontId="5" fillId="0" borderId="8" xfId="0" applyFont="1" applyBorder="1" applyAlignment="1">
      <alignment horizontal="center" vertical="center"/>
    </xf>
    <xf numFmtId="0" fontId="5" fillId="0" borderId="8" xfId="0" applyFont="1" applyBorder="1" applyAlignment="1">
      <alignment vertical="center"/>
    </xf>
    <xf numFmtId="9" fontId="5" fillId="0" borderId="8" xfId="1" applyFont="1" applyBorder="1" applyAlignment="1">
      <alignment horizontal="center" vertical="center"/>
    </xf>
    <xf numFmtId="0" fontId="6" fillId="0" borderId="8" xfId="2" applyFont="1" applyFill="1" applyBorder="1" applyAlignment="1">
      <alignment horizontal="center"/>
    </xf>
    <xf numFmtId="164" fontId="5" fillId="0" borderId="8" xfId="0" applyNumberFormat="1" applyFont="1" applyBorder="1" applyAlignment="1">
      <alignment horizontal="center" vertical="center"/>
    </xf>
    <xf numFmtId="0" fontId="5" fillId="0" borderId="9" xfId="0" applyFont="1" applyBorder="1" applyAlignment="1">
      <alignment vertical="center"/>
    </xf>
    <xf numFmtId="0" fontId="12" fillId="4" borderId="15" xfId="0" applyFont="1" applyFill="1" applyBorder="1" applyAlignment="1">
      <alignment horizontal="center" vertical="center"/>
    </xf>
    <xf numFmtId="0" fontId="12" fillId="17" borderId="15" xfId="0" applyFont="1" applyFill="1" applyBorder="1" applyAlignment="1">
      <alignment horizontal="center" vertical="center"/>
    </xf>
    <xf numFmtId="9" fontId="12" fillId="18" borderId="15" xfId="1" applyFont="1" applyFill="1" applyBorder="1" applyAlignment="1">
      <alignment horizontal="center" vertical="center"/>
    </xf>
    <xf numFmtId="0" fontId="10" fillId="19" borderId="9" xfId="0" applyFont="1" applyFill="1" applyBorder="1" applyAlignment="1">
      <alignment horizontal="center" vertical="center" wrapText="1"/>
    </xf>
    <xf numFmtId="0" fontId="10" fillId="20" borderId="10" xfId="0" applyFont="1" applyFill="1" applyBorder="1" applyAlignment="1">
      <alignment horizontal="center" vertical="center" wrapText="1"/>
    </xf>
    <xf numFmtId="0" fontId="10" fillId="21" borderId="18" xfId="0" applyFont="1" applyFill="1" applyBorder="1" applyAlignment="1">
      <alignment horizontal="center" vertical="center" wrapText="1"/>
    </xf>
    <xf numFmtId="0" fontId="11" fillId="19" borderId="17" xfId="0" applyFont="1" applyFill="1" applyBorder="1" applyAlignment="1">
      <alignment horizontal="center" wrapText="1"/>
    </xf>
    <xf numFmtId="0" fontId="11" fillId="20" borderId="15" xfId="0" applyFont="1" applyFill="1" applyBorder="1" applyAlignment="1">
      <alignment horizontal="center" wrapText="1"/>
    </xf>
    <xf numFmtId="0" fontId="11" fillId="21" borderId="16" xfId="0" applyFont="1" applyFill="1" applyBorder="1" applyAlignment="1">
      <alignment horizontal="center" wrapText="1"/>
    </xf>
    <xf numFmtId="0" fontId="0" fillId="19" borderId="0" xfId="0" applyFill="1"/>
    <xf numFmtId="0" fontId="8" fillId="18" borderId="10" xfId="0" applyFont="1" applyFill="1" applyBorder="1" applyAlignment="1">
      <alignment horizontal="center" vertical="center"/>
    </xf>
    <xf numFmtId="0" fontId="12" fillId="16" borderId="17" xfId="0" applyFont="1" applyFill="1" applyBorder="1" applyAlignment="1">
      <alignment horizontal="center" vertical="center"/>
    </xf>
    <xf numFmtId="0" fontId="12" fillId="12" borderId="24" xfId="0" applyFont="1" applyFill="1" applyBorder="1" applyAlignment="1">
      <alignment horizontal="center" vertical="center"/>
    </xf>
    <xf numFmtId="0" fontId="8" fillId="16" borderId="9" xfId="0" applyFont="1" applyFill="1" applyBorder="1" applyAlignment="1">
      <alignment horizontal="center" vertical="center" wrapText="1"/>
    </xf>
    <xf numFmtId="0" fontId="8" fillId="4" borderId="10" xfId="0" applyFont="1" applyFill="1" applyBorder="1" applyAlignment="1">
      <alignment horizontal="center" vertical="center" wrapText="1"/>
    </xf>
    <xf numFmtId="0" fontId="8" fillId="17" borderId="10" xfId="0" applyFont="1" applyFill="1" applyBorder="1" applyAlignment="1">
      <alignment horizontal="center" vertical="center" wrapText="1"/>
    </xf>
    <xf numFmtId="0" fontId="8" fillId="12" borderId="7" xfId="0" applyFont="1" applyFill="1" applyBorder="1" applyAlignment="1">
      <alignment horizontal="center" vertical="center" wrapText="1"/>
    </xf>
    <xf numFmtId="0" fontId="14" fillId="19" borderId="0" xfId="0" applyFont="1" applyFill="1" applyAlignment="1">
      <alignment vertical="center"/>
    </xf>
    <xf numFmtId="14" fontId="0" fillId="0" borderId="0" xfId="0" applyNumberFormat="1"/>
    <xf numFmtId="0" fontId="5" fillId="13" borderId="7" xfId="0" applyFont="1" applyFill="1" applyBorder="1" applyAlignment="1">
      <alignment horizontal="left" vertical="center"/>
    </xf>
    <xf numFmtId="165" fontId="5" fillId="13" borderId="8" xfId="0" applyNumberFormat="1" applyFont="1" applyFill="1" applyBorder="1" applyAlignment="1">
      <alignment horizontal="left" vertical="center"/>
    </xf>
    <xf numFmtId="1" fontId="5" fillId="13" borderId="8" xfId="0" applyNumberFormat="1" applyFont="1" applyFill="1" applyBorder="1" applyAlignment="1">
      <alignment horizontal="left" vertical="center"/>
    </xf>
    <xf numFmtId="0" fontId="5" fillId="13" borderId="8" xfId="0" applyFont="1" applyFill="1" applyBorder="1" applyAlignment="1">
      <alignment horizontal="left" vertical="center"/>
    </xf>
    <xf numFmtId="0" fontId="5" fillId="13" borderId="8" xfId="0" applyFont="1" applyFill="1" applyBorder="1" applyAlignment="1">
      <alignment horizontal="center" vertical="center"/>
    </xf>
    <xf numFmtId="0" fontId="5" fillId="13" borderId="8" xfId="0" applyFont="1" applyFill="1" applyBorder="1" applyAlignment="1">
      <alignment vertical="center"/>
    </xf>
    <xf numFmtId="9" fontId="5" fillId="13" borderId="8" xfId="1" applyFont="1" applyFill="1" applyBorder="1" applyAlignment="1">
      <alignment horizontal="center" vertical="center"/>
    </xf>
    <xf numFmtId="0" fontId="6" fillId="13" borderId="8" xfId="2" applyFont="1" applyFill="1" applyBorder="1" applyAlignment="1">
      <alignment horizontal="center"/>
    </xf>
    <xf numFmtId="164" fontId="5" fillId="13" borderId="8" xfId="0" applyNumberFormat="1" applyFont="1" applyFill="1" applyBorder="1" applyAlignment="1">
      <alignment horizontal="center" vertical="center"/>
    </xf>
    <xf numFmtId="0" fontId="5" fillId="13" borderId="9" xfId="0" applyFont="1" applyFill="1" applyBorder="1" applyAlignment="1">
      <alignment vertical="center"/>
    </xf>
    <xf numFmtId="0" fontId="5" fillId="22" borderId="2" xfId="0" applyFont="1" applyFill="1" applyBorder="1" applyAlignment="1">
      <alignment horizontal="left" vertical="center"/>
    </xf>
    <xf numFmtId="165" fontId="5" fillId="22" borderId="1" xfId="0" applyNumberFormat="1" applyFont="1" applyFill="1" applyBorder="1" applyAlignment="1">
      <alignment horizontal="left" vertical="center"/>
    </xf>
    <xf numFmtId="1" fontId="5" fillId="22" borderId="1" xfId="0" applyNumberFormat="1" applyFont="1" applyFill="1" applyBorder="1" applyAlignment="1">
      <alignment horizontal="left" vertical="center"/>
    </xf>
    <xf numFmtId="0" fontId="5" fillId="22" borderId="1" xfId="0" applyFont="1" applyFill="1" applyBorder="1" applyAlignment="1">
      <alignment horizontal="left" vertical="center"/>
    </xf>
    <xf numFmtId="0" fontId="5" fillId="22" borderId="1" xfId="0" applyFont="1" applyFill="1" applyBorder="1" applyAlignment="1">
      <alignment horizontal="center" vertical="center"/>
    </xf>
    <xf numFmtId="0" fontId="5" fillId="22" borderId="1" xfId="0" applyFont="1" applyFill="1" applyBorder="1" applyAlignment="1">
      <alignment vertical="center"/>
    </xf>
    <xf numFmtId="9" fontId="5" fillId="22" borderId="1" xfId="1" applyFont="1" applyFill="1" applyBorder="1" applyAlignment="1">
      <alignment horizontal="center" vertical="center"/>
    </xf>
    <xf numFmtId="0" fontId="6" fillId="22" borderId="1" xfId="2" applyFont="1" applyFill="1" applyBorder="1" applyAlignment="1">
      <alignment horizontal="center"/>
    </xf>
    <xf numFmtId="164" fontId="5" fillId="22" borderId="1" xfId="0" applyNumberFormat="1" applyFont="1" applyFill="1" applyBorder="1" applyAlignment="1">
      <alignment horizontal="center" vertical="center"/>
    </xf>
    <xf numFmtId="0" fontId="5" fillId="22" borderId="3" xfId="0" applyFont="1" applyFill="1" applyBorder="1" applyAlignment="1">
      <alignment vertical="center"/>
    </xf>
    <xf numFmtId="0" fontId="0" fillId="22" borderId="0" xfId="0" applyFill="1"/>
    <xf numFmtId="0" fontId="5" fillId="22" borderId="1" xfId="0" quotePrefix="1" applyFont="1" applyFill="1" applyBorder="1" applyAlignment="1">
      <alignment vertical="center"/>
    </xf>
    <xf numFmtId="165" fontId="5" fillId="22" borderId="8" xfId="0" applyNumberFormat="1" applyFont="1" applyFill="1" applyBorder="1" applyAlignment="1">
      <alignment horizontal="left" vertical="center"/>
    </xf>
    <xf numFmtId="1" fontId="5" fillId="22" borderId="8" xfId="0" applyNumberFormat="1" applyFont="1" applyFill="1" applyBorder="1" applyAlignment="1">
      <alignment horizontal="left" vertical="center"/>
    </xf>
    <xf numFmtId="0" fontId="5" fillId="22" borderId="8" xfId="0" applyFont="1" applyFill="1" applyBorder="1" applyAlignment="1">
      <alignment horizontal="left" vertical="center"/>
    </xf>
    <xf numFmtId="0" fontId="5" fillId="22" borderId="8" xfId="0" applyFont="1" applyFill="1" applyBorder="1" applyAlignment="1">
      <alignment horizontal="center" vertical="center"/>
    </xf>
    <xf numFmtId="0" fontId="5" fillId="22" borderId="8" xfId="0" applyFont="1" applyFill="1" applyBorder="1" applyAlignment="1">
      <alignment vertical="center"/>
    </xf>
    <xf numFmtId="9" fontId="5" fillId="22" borderId="8" xfId="1" applyFont="1" applyFill="1" applyBorder="1" applyAlignment="1">
      <alignment horizontal="center" vertical="center"/>
    </xf>
    <xf numFmtId="0" fontId="6" fillId="22" borderId="8" xfId="2" applyFont="1" applyFill="1" applyBorder="1" applyAlignment="1">
      <alignment horizontal="center"/>
    </xf>
    <xf numFmtId="164" fontId="5" fillId="22" borderId="8" xfId="0" applyNumberFormat="1" applyFont="1" applyFill="1" applyBorder="1" applyAlignment="1">
      <alignment horizontal="center" vertical="center"/>
    </xf>
    <xf numFmtId="0" fontId="5" fillId="22" borderId="9" xfId="0" applyFont="1" applyFill="1" applyBorder="1" applyAlignment="1">
      <alignment vertical="center"/>
    </xf>
    <xf numFmtId="0" fontId="5" fillId="22" borderId="7" xfId="0" applyFont="1" applyFill="1" applyBorder="1" applyAlignment="1">
      <alignment horizontal="left" vertical="center"/>
    </xf>
    <xf numFmtId="164" fontId="5" fillId="0" borderId="1" xfId="0" applyNumberFormat="1" applyFont="1" applyBorder="1" applyAlignment="1">
      <alignment vertical="center"/>
    </xf>
    <xf numFmtId="0" fontId="3" fillId="0" borderId="8" xfId="2" applyBorder="1" applyAlignment="1">
      <alignment horizontal="left" vertical="center"/>
    </xf>
    <xf numFmtId="0" fontId="3" fillId="22" borderId="8" xfId="2" applyFill="1" applyBorder="1" applyAlignment="1">
      <alignment horizontal="left" vertical="center"/>
    </xf>
    <xf numFmtId="0" fontId="3" fillId="22" borderId="1" xfId="2" applyFill="1" applyBorder="1" applyAlignment="1">
      <alignment horizontal="left" vertical="center"/>
    </xf>
    <xf numFmtId="9" fontId="5" fillId="0" borderId="8" xfId="1" applyFont="1" applyFill="1" applyBorder="1" applyAlignment="1">
      <alignment horizontal="center" vertical="center"/>
    </xf>
    <xf numFmtId="0" fontId="15" fillId="13" borderId="0" xfId="0" applyFont="1" applyFill="1"/>
    <xf numFmtId="0" fontId="16" fillId="0" borderId="0" xfId="0" applyFont="1"/>
    <xf numFmtId="0" fontId="16" fillId="12" borderId="0" xfId="0" applyFont="1" applyFill="1"/>
    <xf numFmtId="0" fontId="15" fillId="12" borderId="0" xfId="0" applyFont="1" applyFill="1"/>
    <xf numFmtId="0" fontId="15" fillId="22" borderId="0" xfId="0" applyFont="1" applyFill="1"/>
    <xf numFmtId="0" fontId="18" fillId="23" borderId="27" xfId="0" applyFont="1" applyFill="1" applyBorder="1" applyAlignment="1">
      <alignment horizontal="center" vertical="center" wrapText="1"/>
    </xf>
    <xf numFmtId="0" fontId="17" fillId="23" borderId="32" xfId="0" applyFont="1" applyFill="1" applyBorder="1" applyAlignment="1">
      <alignment horizontal="center" vertical="center"/>
    </xf>
    <xf numFmtId="0" fontId="17" fillId="24" borderId="33" xfId="0" applyFont="1" applyFill="1" applyBorder="1" applyAlignment="1">
      <alignment horizontal="center" vertical="center"/>
    </xf>
    <xf numFmtId="0" fontId="17" fillId="23" borderId="33" xfId="0" applyFont="1" applyFill="1" applyBorder="1" applyAlignment="1">
      <alignment horizontal="center" vertical="center"/>
    </xf>
    <xf numFmtId="0" fontId="17" fillId="23" borderId="26" xfId="0" applyFont="1" applyFill="1" applyBorder="1" applyAlignment="1">
      <alignment horizontal="center" vertical="center"/>
    </xf>
    <xf numFmtId="0" fontId="5" fillId="12" borderId="1" xfId="0" quotePrefix="1" applyFont="1" applyFill="1" applyBorder="1" applyAlignment="1">
      <alignment horizontal="center" vertical="center"/>
    </xf>
    <xf numFmtId="0" fontId="3" fillId="0" borderId="1" xfId="2" applyBorder="1" applyAlignment="1">
      <alignment horizontal="left" vertical="center"/>
    </xf>
    <xf numFmtId="0" fontId="5" fillId="25" borderId="1" xfId="0" applyFont="1" applyFill="1" applyBorder="1" applyAlignment="1">
      <alignment horizontal="center" vertical="center"/>
    </xf>
    <xf numFmtId="0" fontId="5" fillId="25" borderId="8" xfId="0" applyFont="1" applyFill="1" applyBorder="1" applyAlignment="1">
      <alignment horizontal="center" vertical="center"/>
    </xf>
    <xf numFmtId="0" fontId="5" fillId="0" borderId="34" xfId="0" applyFont="1" applyBorder="1" applyAlignment="1">
      <alignment horizontal="left" vertical="center"/>
    </xf>
    <xf numFmtId="0" fontId="5" fillId="0" borderId="34" xfId="0" applyFont="1" applyBorder="1" applyAlignment="1">
      <alignment horizontal="center" vertical="center"/>
    </xf>
    <xf numFmtId="0" fontId="5" fillId="0" borderId="1" xfId="0" quotePrefix="1" applyFont="1" applyBorder="1" applyAlignment="1">
      <alignment horizontal="center" vertical="center"/>
    </xf>
    <xf numFmtId="3" fontId="5" fillId="0" borderId="1" xfId="0" applyNumberFormat="1" applyFont="1" applyBorder="1" applyAlignment="1">
      <alignment horizontal="center" vertical="center"/>
    </xf>
    <xf numFmtId="0" fontId="5" fillId="0" borderId="8" xfId="0" quotePrefix="1" applyFont="1" applyBorder="1" applyAlignment="1">
      <alignment horizontal="center" vertical="center"/>
    </xf>
    <xf numFmtId="3" fontId="5" fillId="0" borderId="8" xfId="0" applyNumberFormat="1" applyFont="1" applyBorder="1" applyAlignment="1">
      <alignment horizontal="center" vertical="center"/>
    </xf>
    <xf numFmtId="0" fontId="14" fillId="19" borderId="0" xfId="0" applyFont="1" applyFill="1" applyAlignment="1">
      <alignment horizontal="right" vertical="center"/>
    </xf>
    <xf numFmtId="0" fontId="8" fillId="14" borderId="12" xfId="0" applyFont="1" applyFill="1" applyBorder="1" applyAlignment="1">
      <alignment horizontal="center" vertical="center"/>
    </xf>
    <xf numFmtId="0" fontId="8" fillId="14" borderId="19" xfId="0" applyFont="1" applyFill="1" applyBorder="1" applyAlignment="1">
      <alignment horizontal="center" vertical="center"/>
    </xf>
    <xf numFmtId="0" fontId="8" fillId="14" borderId="13" xfId="0" applyFont="1" applyFill="1" applyBorder="1" applyAlignment="1">
      <alignment horizontal="center" vertical="center"/>
    </xf>
    <xf numFmtId="0" fontId="8" fillId="14" borderId="11" xfId="0" applyFont="1" applyFill="1" applyBorder="1" applyAlignment="1">
      <alignment horizontal="center" vertical="center"/>
    </xf>
    <xf numFmtId="0" fontId="9" fillId="15" borderId="20" xfId="0" applyFont="1" applyFill="1" applyBorder="1" applyAlignment="1">
      <alignment horizontal="center" vertical="center"/>
    </xf>
    <xf numFmtId="0" fontId="9" fillId="15" borderId="21" xfId="0" applyFont="1" applyFill="1" applyBorder="1" applyAlignment="1">
      <alignment horizontal="center" vertical="center"/>
    </xf>
    <xf numFmtId="0" fontId="9" fillId="15" borderId="22" xfId="0" applyFont="1" applyFill="1" applyBorder="1" applyAlignment="1">
      <alignment horizontal="center" vertical="center"/>
    </xf>
    <xf numFmtId="0" fontId="13" fillId="7" borderId="20" xfId="0" applyFont="1" applyFill="1" applyBorder="1" applyAlignment="1">
      <alignment horizontal="center" vertical="center"/>
    </xf>
    <xf numFmtId="0" fontId="13" fillId="7" borderId="21" xfId="0" applyFont="1" applyFill="1" applyBorder="1" applyAlignment="1">
      <alignment horizontal="center" vertical="center"/>
    </xf>
    <xf numFmtId="0" fontId="13" fillId="7" borderId="23" xfId="0" applyFont="1" applyFill="1" applyBorder="1" applyAlignment="1">
      <alignment horizontal="center" vertical="center"/>
    </xf>
    <xf numFmtId="0" fontId="12" fillId="14" borderId="14" xfId="0" applyFont="1" applyFill="1" applyBorder="1" applyAlignment="1">
      <alignment horizontal="center" vertical="center"/>
    </xf>
    <xf numFmtId="0" fontId="12" fillId="14" borderId="24" xfId="0" applyFont="1" applyFill="1" applyBorder="1" applyAlignment="1">
      <alignment horizontal="center" vertical="center"/>
    </xf>
    <xf numFmtId="0" fontId="17" fillId="23" borderId="28" xfId="0" applyFont="1" applyFill="1" applyBorder="1" applyAlignment="1">
      <alignment horizontal="left" vertical="center"/>
    </xf>
    <xf numFmtId="0" fontId="17" fillId="23" borderId="26" xfId="0" applyFont="1" applyFill="1" applyBorder="1" applyAlignment="1">
      <alignment horizontal="left" vertical="center"/>
    </xf>
    <xf numFmtId="0" fontId="0" fillId="19" borderId="0" xfId="0" applyFill="1" applyAlignment="1">
      <alignment horizontal="center"/>
    </xf>
    <xf numFmtId="0" fontId="19" fillId="23" borderId="25" xfId="0" applyFont="1" applyFill="1" applyBorder="1" applyAlignment="1">
      <alignment horizontal="left" vertical="center"/>
    </xf>
    <xf numFmtId="0" fontId="19" fillId="23" borderId="29" xfId="0" applyFont="1" applyFill="1" applyBorder="1" applyAlignment="1">
      <alignment horizontal="left" vertical="center"/>
    </xf>
    <xf numFmtId="0" fontId="19" fillId="24" borderId="0" xfId="0" applyFont="1" applyFill="1" applyAlignment="1">
      <alignment horizontal="left" vertical="center"/>
    </xf>
    <xf numFmtId="0" fontId="19" fillId="24" borderId="30" xfId="0" applyFont="1" applyFill="1" applyBorder="1" applyAlignment="1">
      <alignment horizontal="left" vertical="center"/>
    </xf>
    <xf numFmtId="0" fontId="19" fillId="23" borderId="0" xfId="0" applyFont="1" applyFill="1" applyAlignment="1">
      <alignment horizontal="left" vertical="center"/>
    </xf>
    <xf numFmtId="0" fontId="19" fillId="23" borderId="30" xfId="0" applyFont="1" applyFill="1" applyBorder="1" applyAlignment="1">
      <alignment horizontal="left" vertical="center"/>
    </xf>
    <xf numFmtId="0" fontId="19" fillId="24" borderId="15" xfId="0" applyFont="1" applyFill="1" applyBorder="1" applyAlignment="1">
      <alignment horizontal="left" vertical="center"/>
    </xf>
    <xf numFmtId="0" fontId="19" fillId="24" borderId="31" xfId="0" applyFont="1" applyFill="1" applyBorder="1" applyAlignment="1">
      <alignment horizontal="left" vertical="center"/>
    </xf>
    <xf numFmtId="0" fontId="0" fillId="0" borderId="0" xfId="0" applyAlignment="1">
      <alignment horizontal="center"/>
    </xf>
    <xf numFmtId="0" fontId="0" fillId="0" borderId="0" xfId="0" applyNumberFormat="1"/>
    <xf numFmtId="0" fontId="0" fillId="0" borderId="0" xfId="0" applyNumberFormat="1" applyAlignment="1">
      <alignment horizontal="center"/>
    </xf>
  </cellXfs>
  <cellStyles count="3">
    <cellStyle name="Hyperlink" xfId="2" builtinId="8"/>
    <cellStyle name="Normal" xfId="0" builtinId="0"/>
    <cellStyle name="Percent" xfId="1" builtinId="5"/>
  </cellStyles>
  <dxfs count="52">
    <dxf>
      <alignment horizontal="center"/>
    </dxf>
    <dxf>
      <alignment horizontal="center"/>
    </dxf>
    <dxf>
      <font>
        <b val="0"/>
        <i val="0"/>
        <strike val="0"/>
        <condense val="0"/>
        <extend val="0"/>
        <outline val="0"/>
        <shadow val="0"/>
        <u val="none"/>
        <vertAlign val="baseline"/>
        <sz val="9"/>
        <color theme="1"/>
        <name val="Times New Roman"/>
        <family val="1"/>
        <scheme val="none"/>
      </font>
      <alignment horizontal="general"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theme="1"/>
        <name val="Times New Roman"/>
        <family val="1"/>
        <scheme val="none"/>
      </font>
      <numFmt numFmtId="164" formatCode="dd/mmm/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Times New Roman"/>
        <family val="1"/>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Times New Roman"/>
        <family val="1"/>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Times New Roman"/>
        <family val="1"/>
        <scheme val="none"/>
      </font>
      <numFmt numFmtId="164" formatCode="dd/mmm/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Times New Roman"/>
        <family val="1"/>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Times New Roman"/>
        <family val="1"/>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Times New Roman"/>
        <family val="1"/>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Times New Roman"/>
        <family val="1"/>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Times New Roman"/>
        <family val="1"/>
        <scheme val="none"/>
      </font>
      <numFmt numFmtId="164" formatCode="dd/mmm/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Times New Roman"/>
        <family val="1"/>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Times New Roman"/>
        <family val="1"/>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ertAlign val="baseline"/>
        <sz val="9"/>
        <color theme="10"/>
        <name val="Times New Roman"/>
        <family val="1"/>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Times New Roman"/>
        <family val="1"/>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Times New Roman"/>
        <family val="1"/>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Times New Roman"/>
        <family val="1"/>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Times New Roman"/>
        <family val="1"/>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Times New Roman"/>
        <family val="1"/>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Times New Roman"/>
        <family val="1"/>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Times New Roman"/>
        <family val="1"/>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Times New Roman"/>
        <family val="1"/>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Times New Roman"/>
        <family val="1"/>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Times New Roman"/>
        <family val="1"/>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Times New Roman"/>
        <family val="1"/>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Times New Roman"/>
        <family val="1"/>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Times New Roman"/>
        <family val="1"/>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9"/>
        <color theme="1"/>
        <name val="Times New Roman"/>
        <family val="1"/>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Times New Roman"/>
        <family val="1"/>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Times New Roman"/>
        <family val="1"/>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Times New Roman"/>
        <family val="1"/>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Times New Roman"/>
        <family val="1"/>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Times New Roman"/>
        <family val="1"/>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Times New Roman"/>
        <family val="1"/>
        <scheme val="none"/>
      </font>
      <numFmt numFmtId="0" formatCode="General"/>
      <alignment horizontal="left"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9"/>
        <color theme="1"/>
        <name val="Times New Roman"/>
        <family val="1"/>
        <scheme val="none"/>
      </font>
      <numFmt numFmtId="0" formatCode="Genera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Times New Roman"/>
        <family val="1"/>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Times New Roman"/>
        <family val="1"/>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Times New Roman"/>
        <family val="1"/>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Times New Roman"/>
        <family val="1"/>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Times New Roman"/>
        <family val="1"/>
        <scheme val="none"/>
      </font>
      <numFmt numFmtId="1" formatCode="0"/>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Times New Roman"/>
        <family val="1"/>
        <scheme val="none"/>
      </font>
      <numFmt numFmtId="165" formatCode="mmm/yyyy"/>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Times New Roman"/>
        <family val="1"/>
        <scheme val="none"/>
      </font>
      <alignment horizontal="left"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9"/>
        <color theme="0"/>
        <name val="Times New Roman"/>
        <family val="1"/>
        <scheme val="none"/>
      </font>
      <fill>
        <patternFill patternType="solid">
          <fgColor indexed="64"/>
          <bgColor theme="3" tint="9.9978637043366805E-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dxf>
  </dxfs>
  <tableStyles count="0" defaultTableStyle="TableStyleMedium2" defaultPivotStyle="PivotStyleLight16"/>
  <colors>
    <mruColors>
      <color rgb="FFFF5050"/>
      <color rgb="FFD35617"/>
      <color rgb="FFED3011"/>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4.xml"/><Relationship Id="rId13" Type="http://schemas.openxmlformats.org/officeDocument/2006/relationships/pivotCacheDefinition" Target="pivotCache/pivotCacheDefinition9.xml"/><Relationship Id="rId18" Type="http://schemas.microsoft.com/office/2007/relationships/slicerCache" Target="slicerCaches/slicerCache3.xml"/><Relationship Id="rId26" Type="http://schemas.openxmlformats.org/officeDocument/2006/relationships/powerPivotData" Target="model/item.data"/><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microsoft.com/office/2007/relationships/slicerCache" Target="slicerCaches/slicerCache2.xml"/><Relationship Id="rId25" Type="http://schemas.openxmlformats.org/officeDocument/2006/relationships/sheetMetadata" Target="metadata.xml"/><Relationship Id="rId2" Type="http://schemas.openxmlformats.org/officeDocument/2006/relationships/worksheet" Target="worksheets/sheet2.xml"/><Relationship Id="rId16" Type="http://schemas.microsoft.com/office/2007/relationships/slicerCache" Target="slicerCaches/slicerCache1.xml"/><Relationship Id="rId20" Type="http://schemas.microsoft.com/office/2007/relationships/slicerCache" Target="slicerCaches/slicerCache5.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sharedStrings" Target="sharedStrings.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styles" Target="styles.xml"/><Relationship Id="rId28" Type="http://schemas.openxmlformats.org/officeDocument/2006/relationships/customXml" Target="../customXml/item1.xml"/><Relationship Id="rId10" Type="http://schemas.openxmlformats.org/officeDocument/2006/relationships/pivotCacheDefinition" Target="pivotCache/pivotCacheDefinition6.xml"/><Relationship Id="rId19" Type="http://schemas.microsoft.com/office/2007/relationships/slicerCache" Target="slicerCaches/slicerCache4.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connections" Target="connections.xml"/><Relationship Id="rId27" Type="http://schemas.openxmlformats.org/officeDocument/2006/relationships/calcChain" Target="calcChain.xml"/><Relationship Id="rId30"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cap="none" spc="0" baseline="0">
                <a:ln w="0"/>
                <a:solidFill>
                  <a:schemeClr val="tx1"/>
                </a:solidFill>
                <a:effectLst>
                  <a:outerShdw blurRad="38100" dist="19050" dir="2700000" algn="tl" rotWithShape="0">
                    <a:schemeClr val="dk1">
                      <a:alpha val="40000"/>
                    </a:schemeClr>
                  </a:outerShdw>
                </a:effectLst>
                <a:latin typeface="Calibri" panose="020F0502020204030204" pitchFamily="34" charset="0"/>
                <a:ea typeface="Calibri" panose="020F0502020204030204" pitchFamily="34" charset="0"/>
                <a:cs typeface="Calibri" panose="020F0502020204030204" pitchFamily="34" charset="0"/>
              </a:defRPr>
            </a:pPr>
            <a:r>
              <a:rPr lang="en-IN"/>
              <a:t>Top 3 - Most Infringed Products</a:t>
            </a:r>
          </a:p>
        </c:rich>
      </c:tx>
      <c:overlay val="0"/>
      <c:spPr>
        <a:noFill/>
        <a:ln>
          <a:noFill/>
        </a:ln>
        <a:effectLst/>
      </c:spPr>
      <c:txPr>
        <a:bodyPr rot="0" spcFirstLastPara="1" vertOverflow="ellipsis" vert="horz" wrap="square" anchor="ctr" anchorCtr="1"/>
        <a:lstStyle/>
        <a:p>
          <a:pPr>
            <a:defRPr sz="1440" b="0" i="0" u="none" strike="noStrike" kern="1200" cap="none" spc="0" baseline="0">
              <a:ln w="0"/>
              <a:solidFill>
                <a:schemeClr val="tx1"/>
              </a:solidFill>
              <a:effectLst>
                <a:outerShdw blurRad="38100" dist="19050" dir="2700000" algn="tl" rotWithShape="0">
                  <a:schemeClr val="dk1">
                    <a:alpha val="40000"/>
                  </a:schemeClr>
                </a:outerShdw>
              </a:effectLst>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lotArea>
      <c:layout/>
      <c:barChart>
        <c:barDir val="bar"/>
        <c:grouping val="clustered"/>
        <c:varyColors val="0"/>
        <c:ser>
          <c:idx val="0"/>
          <c:order val="0"/>
          <c:tx>
            <c:strRef>
              <c:f>Graphs!$K$4</c:f>
              <c:strCache>
                <c:ptCount val="1"/>
                <c:pt idx="0">
                  <c:v>No. of URLs</c:v>
                </c:pt>
              </c:strCache>
            </c:strRef>
          </c:tx>
          <c:spPr>
            <a:solidFill>
              <a:schemeClr val="tx2">
                <a:lumMod val="90000"/>
                <a:lumOff val="10000"/>
              </a:schemeClr>
            </a:solidFill>
            <a:ln>
              <a:noFill/>
            </a:ln>
            <a:effectLst/>
          </c:spPr>
          <c:invertIfNegative val="0"/>
          <c:dLbls>
            <c:spPr>
              <a:noFill/>
              <a:ln>
                <a:noFill/>
              </a:ln>
              <a:effectLst/>
            </c:spPr>
            <c:txPr>
              <a:bodyPr rot="0" spcFirstLastPara="1" vertOverflow="ellipsis" vert="horz" wrap="square" anchor="ctr" anchorCtr="1"/>
              <a:lstStyle/>
              <a:p>
                <a:pPr>
                  <a:defRPr sz="1200" b="0" i="0" u="none" strike="noStrike" kern="1200" cap="none" spc="0" baseline="0">
                    <a:ln w="0"/>
                    <a:solidFill>
                      <a:schemeClr val="tx1"/>
                    </a:solidFill>
                    <a:effectLst>
                      <a:outerShdw blurRad="38100" dist="19050" dir="2700000" algn="tl" rotWithShape="0">
                        <a:schemeClr val="dk1">
                          <a:alpha val="40000"/>
                        </a:schemeClr>
                      </a:outerShdw>
                    </a:effectLst>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Graphs!$J$5:$J$9</c15:sqref>
                  </c15:fullRef>
                </c:ext>
              </c:extLst>
              <c:f>Graphs!$J$5:$J$7</c:f>
              <c:strCache>
                <c:ptCount val="3"/>
                <c:pt idx="0">
                  <c:v>EP9302</c:v>
                </c:pt>
                <c:pt idx="1">
                  <c:v>CS8421</c:v>
                </c:pt>
                <c:pt idx="2">
                  <c:v>CS3003</c:v>
                </c:pt>
              </c:strCache>
            </c:strRef>
          </c:cat>
          <c:val>
            <c:numRef>
              <c:extLst>
                <c:ext xmlns:c15="http://schemas.microsoft.com/office/drawing/2012/chart" uri="{02D57815-91ED-43cb-92C2-25804820EDAC}">
                  <c15:fullRef>
                    <c15:sqref>Graphs!$K$5:$K$9</c15:sqref>
                  </c15:fullRef>
                </c:ext>
              </c:extLst>
              <c:f>Graphs!$K$5:$K$7</c:f>
              <c:numCache>
                <c:formatCode>General</c:formatCode>
                <c:ptCount val="3"/>
                <c:pt idx="0">
                  <c:v>14</c:v>
                </c:pt>
                <c:pt idx="1">
                  <c:v>16</c:v>
                </c:pt>
                <c:pt idx="2">
                  <c:v>51</c:v>
                </c:pt>
              </c:numCache>
            </c:numRef>
          </c:val>
          <c:extLst>
            <c:ext xmlns:c16="http://schemas.microsoft.com/office/drawing/2014/chart" uri="{C3380CC4-5D6E-409C-BE32-E72D297353CC}">
              <c16:uniqueId val="{00000000-6737-484F-96E7-EA7FF229D9DB}"/>
            </c:ext>
          </c:extLst>
        </c:ser>
        <c:dLbls>
          <c:showLegendKey val="0"/>
          <c:showVal val="0"/>
          <c:showCatName val="0"/>
          <c:showSerName val="0"/>
          <c:showPercent val="0"/>
          <c:showBubbleSize val="0"/>
        </c:dLbls>
        <c:gapWidth val="219"/>
        <c:axId val="625000911"/>
        <c:axId val="625006191"/>
      </c:barChart>
      <c:catAx>
        <c:axId val="6250009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cap="none" spc="0" baseline="0">
                <a:ln w="0"/>
                <a:solidFill>
                  <a:schemeClr val="tx1"/>
                </a:solidFill>
                <a:effectLst>
                  <a:outerShdw blurRad="38100" dist="19050" dir="2700000" algn="tl" rotWithShape="0">
                    <a:schemeClr val="dk1">
                      <a:alpha val="40000"/>
                    </a:schemeClr>
                  </a:outerShdw>
                </a:effectLst>
                <a:latin typeface="Calibri" panose="020F0502020204030204" pitchFamily="34" charset="0"/>
                <a:ea typeface="Calibri" panose="020F0502020204030204" pitchFamily="34" charset="0"/>
                <a:cs typeface="Calibri" panose="020F0502020204030204" pitchFamily="34" charset="0"/>
              </a:defRPr>
            </a:pPr>
            <a:endParaRPr lang="en-US"/>
          </a:p>
        </c:txPr>
        <c:crossAx val="625006191"/>
        <c:crosses val="autoZero"/>
        <c:auto val="1"/>
        <c:lblAlgn val="ctr"/>
        <c:lblOffset val="100"/>
        <c:noMultiLvlLbl val="0"/>
      </c:catAx>
      <c:valAx>
        <c:axId val="625006191"/>
        <c:scaling>
          <c:orientation val="minMax"/>
        </c:scaling>
        <c:delete val="1"/>
        <c:axPos val="b"/>
        <c:numFmt formatCode="General" sourceLinked="1"/>
        <c:majorTickMark val="none"/>
        <c:minorTickMark val="none"/>
        <c:tickLblPos val="nextTo"/>
        <c:crossAx val="6250009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0" cap="none" spc="0">
          <a:ln w="0"/>
          <a:solidFill>
            <a:schemeClr val="tx1"/>
          </a:solidFill>
          <a:effectLst>
            <a:outerShdw blurRad="38100" dist="19050" dir="2700000" algn="tl" rotWithShape="0">
              <a:schemeClr val="dk1">
                <a:alpha val="40000"/>
              </a:schemeClr>
            </a:outerShdw>
          </a:effectLst>
          <a:latin typeface="Calibri" panose="020F0502020204030204" pitchFamily="34" charset="0"/>
          <a:ea typeface="Calibri" panose="020F0502020204030204" pitchFamily="34" charset="0"/>
          <a:cs typeface="Calibri" panose="020F050202020403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[Brand Protection - Data Insights and Dashboard.xlsm]Graphs!Most_Infringed_mkt</c:name>
    <c:fmtId val="29"/>
  </c:pivotSource>
  <c:chart>
    <c:title>
      <c:tx>
        <c:rich>
          <a:bodyPr rot="0" spcFirstLastPara="1" vertOverflow="ellipsis" vert="horz" wrap="square" anchor="ctr" anchorCtr="1"/>
          <a:lstStyle/>
          <a:p>
            <a:pPr>
              <a:defRPr sz="1440" b="0" i="0" u="none" strike="noStrike" kern="1200" cap="none" spc="0" baseline="0">
                <a:ln w="0"/>
                <a:solidFill>
                  <a:schemeClr val="tx1"/>
                </a:solidFill>
                <a:effectLst>
                  <a:outerShdw blurRad="38100" dist="19050" dir="2700000" algn="tl" rotWithShape="0">
                    <a:schemeClr val="dk1">
                      <a:alpha val="40000"/>
                    </a:schemeClr>
                  </a:outerShdw>
                </a:effectLst>
                <a:latin typeface="Calibri" panose="020F0502020204030204" pitchFamily="34" charset="0"/>
                <a:ea typeface="Calibri" panose="020F0502020204030204" pitchFamily="34" charset="0"/>
                <a:cs typeface="Calibri" panose="020F0502020204030204" pitchFamily="34" charset="0"/>
              </a:defRPr>
            </a:pPr>
            <a:r>
              <a:rPr lang="en-IN"/>
              <a:t>Top 3 - Most Infringed Marketplace</a:t>
            </a:r>
          </a:p>
        </c:rich>
      </c:tx>
      <c:overlay val="0"/>
      <c:spPr>
        <a:noFill/>
        <a:ln>
          <a:noFill/>
        </a:ln>
        <a:effectLst/>
      </c:spPr>
      <c:txPr>
        <a:bodyPr rot="0" spcFirstLastPara="1" vertOverflow="ellipsis" vert="horz" wrap="square" anchor="ctr" anchorCtr="1"/>
        <a:lstStyle/>
        <a:p>
          <a:pPr>
            <a:defRPr sz="1440" b="0" i="0" u="none" strike="noStrike" kern="1200" cap="none" spc="0" baseline="0">
              <a:ln w="0"/>
              <a:solidFill>
                <a:schemeClr val="tx1"/>
              </a:solidFill>
              <a:effectLst>
                <a:outerShdw blurRad="38100" dist="19050" dir="2700000" algn="tl" rotWithShape="0">
                  <a:schemeClr val="dk1">
                    <a:alpha val="40000"/>
                  </a:schemeClr>
                </a:outerShdw>
              </a:effectLst>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cap="none" spc="0" baseline="0">
                  <a:ln w="0"/>
                  <a:solidFill>
                    <a:schemeClr val="tx1"/>
                  </a:solidFill>
                  <a:effectLst>
                    <a:outerShdw blurRad="38100" dist="19050" dir="2700000" algn="tl" rotWithShape="0">
                      <a:schemeClr val="dk1">
                        <a:alpha val="40000"/>
                      </a:schemeClr>
                    </a:outerShdw>
                  </a:effectLst>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1200" b="0" i="0" u="none" strike="noStrike" kern="1200" cap="none" spc="0" baseline="0">
                  <a:ln w="0"/>
                  <a:solidFill>
                    <a:schemeClr val="tx1"/>
                  </a:solidFill>
                  <a:effectLst>
                    <a:outerShdw blurRad="38100" dist="19050" dir="2700000" algn="tl" rotWithShape="0">
                      <a:schemeClr val="dk1">
                        <a:alpha val="40000"/>
                      </a:schemeClr>
                    </a:outerShdw>
                  </a:effectLst>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ellipse">
                  <a:avLst/>
                </a:prstGeom>
                <a:noFill/>
                <a:ln>
                  <a:noFill/>
                </a:ln>
              </c15:spPr>
            </c:ext>
          </c:extLst>
        </c:dLbl>
      </c:pivotFmt>
      <c:pivotFmt>
        <c:idx val="6"/>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cap="none" spc="0" baseline="0">
                  <a:ln w="0"/>
                  <a:solidFill>
                    <a:schemeClr val="tx1"/>
                  </a:solidFill>
                  <a:effectLst>
                    <a:outerShdw blurRad="38100" dist="19050" dir="2700000" algn="tl" rotWithShape="0">
                      <a:schemeClr val="dk1">
                        <a:alpha val="40000"/>
                      </a:schemeClr>
                    </a:outerShdw>
                  </a:effectLst>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cap="none" spc="0" baseline="0">
                  <a:ln w="0"/>
                  <a:solidFill>
                    <a:schemeClr val="tx1"/>
                  </a:solidFill>
                  <a:effectLst>
                    <a:outerShdw blurRad="38100" dist="19050" dir="2700000" algn="tl" rotWithShape="0">
                      <a:schemeClr val="dk1">
                        <a:alpha val="40000"/>
                      </a:schemeClr>
                    </a:outerShdw>
                  </a:effectLst>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Graphs!$S$3:$S$4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cap="none" spc="0" baseline="0">
                    <a:ln w="0"/>
                    <a:solidFill>
                      <a:schemeClr val="tx1"/>
                    </a:solidFill>
                    <a:effectLst>
                      <a:outerShdw blurRad="38100" dist="19050" dir="2700000" algn="tl" rotWithShape="0">
                        <a:schemeClr val="dk1">
                          <a:alpha val="40000"/>
                        </a:schemeClr>
                      </a:outerShdw>
                    </a:effectLst>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Graphs!$R$5:$R$8</c:f>
              <c:strCache>
                <c:ptCount val="3"/>
                <c:pt idx="0">
                  <c:v>Made-in-china.com</c:v>
                </c:pt>
                <c:pt idx="1">
                  <c:v>1688.com</c:v>
                </c:pt>
                <c:pt idx="2">
                  <c:v>Alibaba.com</c:v>
                </c:pt>
              </c:strCache>
            </c:strRef>
          </c:cat>
          <c:val>
            <c:numRef>
              <c:f>Graphs!$S$5:$S$8</c:f>
              <c:numCache>
                <c:formatCode>General</c:formatCode>
                <c:ptCount val="3"/>
                <c:pt idx="0">
                  <c:v>13</c:v>
                </c:pt>
                <c:pt idx="1">
                  <c:v>15</c:v>
                </c:pt>
                <c:pt idx="2">
                  <c:v>154</c:v>
                </c:pt>
              </c:numCache>
            </c:numRef>
          </c:val>
          <c:extLst>
            <c:ext xmlns:c16="http://schemas.microsoft.com/office/drawing/2014/chart" uri="{C3380CC4-5D6E-409C-BE32-E72D297353CC}">
              <c16:uniqueId val="{00000001-B472-4BE5-8118-198B5D033540}"/>
            </c:ext>
          </c:extLst>
        </c:ser>
        <c:dLbls>
          <c:showLegendKey val="0"/>
          <c:showVal val="0"/>
          <c:showCatName val="0"/>
          <c:showSerName val="0"/>
          <c:showPercent val="0"/>
          <c:showBubbleSize val="0"/>
        </c:dLbls>
        <c:gapWidth val="219"/>
        <c:axId val="890665039"/>
        <c:axId val="890665519"/>
      </c:barChart>
      <c:catAx>
        <c:axId val="89066503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Calibri" panose="020F0502020204030204" pitchFamily="34" charset="0"/>
                <a:ea typeface="Calibri" panose="020F0502020204030204" pitchFamily="34" charset="0"/>
                <a:cs typeface="Calibri" panose="020F0502020204030204" pitchFamily="34" charset="0"/>
              </a:defRPr>
            </a:pPr>
            <a:endParaRPr lang="en-US"/>
          </a:p>
        </c:txPr>
        <c:crossAx val="890665519"/>
        <c:crosses val="autoZero"/>
        <c:auto val="1"/>
        <c:lblAlgn val="ctr"/>
        <c:lblOffset val="100"/>
        <c:noMultiLvlLbl val="0"/>
      </c:catAx>
      <c:valAx>
        <c:axId val="890665519"/>
        <c:scaling>
          <c:orientation val="minMax"/>
        </c:scaling>
        <c:delete val="1"/>
        <c:axPos val="b"/>
        <c:numFmt formatCode="General" sourceLinked="1"/>
        <c:majorTickMark val="none"/>
        <c:minorTickMark val="none"/>
        <c:tickLblPos val="nextTo"/>
        <c:crossAx val="8906650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200" b="0" cap="none" spc="0">
          <a:ln w="0"/>
          <a:solidFill>
            <a:schemeClr val="tx1"/>
          </a:solidFill>
          <a:effectLst>
            <a:outerShdw blurRad="38100" dist="19050" dir="2700000" algn="tl" rotWithShape="0">
              <a:schemeClr val="dk1">
                <a:alpha val="40000"/>
              </a:schemeClr>
            </a:outerShdw>
          </a:effectLst>
          <a:latin typeface="Calibri" panose="020F0502020204030204" pitchFamily="34" charset="0"/>
          <a:ea typeface="Calibri" panose="020F0502020204030204" pitchFamily="34" charset="0"/>
          <a:cs typeface="Calibri" panose="020F050202020403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[Brand Protection - Data Insights and Dashboard.xlsm]Graphs!Pie_chart_Inf_Type</c:name>
    <c:fmtId val="20"/>
  </c:pivotSource>
  <c:chart>
    <c:title>
      <c:tx>
        <c:rich>
          <a:bodyPr rot="0" spcFirstLastPara="1" vertOverflow="ellipsis" vert="horz" wrap="square" anchor="ctr" anchorCtr="1"/>
          <a:lstStyle/>
          <a:p>
            <a:pPr>
              <a:defRPr sz="1440" b="0" i="0" u="none" strike="noStrike" kern="1200" cap="none" spc="0" baseline="0">
                <a:ln w="0"/>
                <a:solidFill>
                  <a:schemeClr val="tx1"/>
                </a:solidFill>
                <a:effectLst>
                  <a:outerShdw blurRad="38100" dist="19050" dir="2700000" algn="tl" rotWithShape="0">
                    <a:schemeClr val="dk1">
                      <a:alpha val="40000"/>
                    </a:schemeClr>
                  </a:outerShdw>
                </a:effectLst>
                <a:latin typeface="Calibri" panose="020F0502020204030204" pitchFamily="34" charset="0"/>
                <a:ea typeface="Calibri" panose="020F0502020204030204" pitchFamily="34" charset="0"/>
                <a:cs typeface="Calibri" panose="020F0502020204030204" pitchFamily="34" charset="0"/>
              </a:defRPr>
            </a:pPr>
            <a:r>
              <a:rPr lang="en-US" sz="1440"/>
              <a:t>Distribution by Infringement type</a:t>
            </a:r>
          </a:p>
        </c:rich>
      </c:tx>
      <c:overlay val="0"/>
      <c:spPr>
        <a:noFill/>
        <a:ln>
          <a:noFill/>
        </a:ln>
        <a:effectLst/>
      </c:spPr>
      <c:txPr>
        <a:bodyPr rot="0" spcFirstLastPara="1" vertOverflow="ellipsis" vert="horz" wrap="square" anchor="ctr" anchorCtr="1"/>
        <a:lstStyle/>
        <a:p>
          <a:pPr>
            <a:defRPr sz="1440" b="0" i="0" u="none" strike="noStrike" kern="1200" cap="none" spc="0" baseline="0">
              <a:ln w="0"/>
              <a:solidFill>
                <a:schemeClr val="tx1"/>
              </a:solidFill>
              <a:effectLst>
                <a:outerShdw blurRad="38100" dist="19050" dir="2700000" algn="tl" rotWithShape="0">
                  <a:schemeClr val="dk1">
                    <a:alpha val="40000"/>
                  </a:schemeClr>
                </a:outerShdw>
              </a:effectLst>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ivotFmts>
      <c:pivotFmt>
        <c:idx val="0"/>
        <c:dLbl>
          <c:idx val="0"/>
          <c:showLegendKey val="0"/>
          <c:showVal val="0"/>
          <c:showCatName val="0"/>
          <c:showSerName val="0"/>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1"/>
          <c:showBubbleSize val="0"/>
          <c:extLst>
            <c:ext xmlns:c15="http://schemas.microsoft.com/office/drawing/2012/chart" uri="{CE6537A1-D6FC-4f65-9D91-7224C49458BB}"/>
          </c:extLst>
        </c:dLbl>
      </c:pivotFmt>
      <c:pivotFmt>
        <c:idx val="2"/>
      </c:pivotFmt>
      <c:pivotFmt>
        <c:idx val="3"/>
      </c:pivotFmt>
      <c:pivotFmt>
        <c:idx val="4"/>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anchor="ctr" anchorCtr="1"/>
            <a:lstStyle/>
            <a:p>
              <a:pPr>
                <a:defRPr sz="1000" b="1" i="0" u="none" strike="noStrike" kern="1200" cap="none" spc="0" baseline="0">
                  <a:ln w="0"/>
                  <a:solidFill>
                    <a:schemeClr val="bg1"/>
                  </a:solidFill>
                  <a:effectLst>
                    <a:outerShdw blurRad="38100" dist="19050" dir="2700000" algn="tl" rotWithShape="0">
                      <a:schemeClr val="dk1">
                        <a:alpha val="40000"/>
                      </a:schemeClr>
                    </a:outerShdw>
                  </a:effectLst>
                  <a:latin typeface="Calibri" panose="020F0502020204030204" pitchFamily="34" charset="0"/>
                  <a:ea typeface="Calibri" panose="020F0502020204030204" pitchFamily="34" charset="0"/>
                  <a:cs typeface="Calibri" panose="020F0502020204030204" pitchFamily="34" charset="0"/>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2.1560532033799162E-2"/>
              <c:y val="0.11730897435897436"/>
            </c:manualLayout>
          </c:layout>
          <c:spPr>
            <a:noFill/>
            <a:ln>
              <a:noFill/>
            </a:ln>
            <a:effectLst/>
          </c:spPr>
          <c:txPr>
            <a:bodyPr rot="0" spcFirstLastPara="1" vertOverflow="ellipsis" vert="horz" wrap="square" anchor="ctr" anchorCtr="1"/>
            <a:lstStyle/>
            <a:p>
              <a:pPr>
                <a:defRPr sz="1000" b="1" i="0" u="none" strike="noStrike" kern="1200" cap="none" spc="0" baseline="0">
                  <a:ln w="0"/>
                  <a:solidFill>
                    <a:schemeClr val="bg1"/>
                  </a:solidFill>
                  <a:effectLst>
                    <a:outerShdw blurRad="38100" dist="19050" dir="2700000" algn="tl" rotWithShape="0">
                      <a:schemeClr val="dk1">
                        <a:alpha val="40000"/>
                      </a:schemeClr>
                    </a:outerShdw>
                  </a:effectLst>
                  <a:latin typeface="Calibri" panose="020F0502020204030204" pitchFamily="34" charset="0"/>
                  <a:ea typeface="Calibri" panose="020F0502020204030204" pitchFamily="34" charset="0"/>
                  <a:cs typeface="Calibri" panose="020F0502020204030204" pitchFamily="34" charset="0"/>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anchor="ctr" anchorCtr="1"/>
            <a:lstStyle/>
            <a:p>
              <a:pPr>
                <a:defRPr sz="1000" b="1" i="0" u="none" strike="noStrike" kern="1200" cap="none" spc="0" baseline="0">
                  <a:ln w="0"/>
                  <a:solidFill>
                    <a:schemeClr val="bg1"/>
                  </a:solidFill>
                  <a:effectLst>
                    <a:outerShdw blurRad="38100" dist="19050" dir="2700000" algn="tl" rotWithShape="0">
                      <a:schemeClr val="dk1">
                        <a:alpha val="40000"/>
                      </a:schemeClr>
                    </a:outerShdw>
                  </a:effectLst>
                  <a:latin typeface="Calibri" panose="020F0502020204030204" pitchFamily="34" charset="0"/>
                  <a:ea typeface="Calibri" panose="020F0502020204030204" pitchFamily="34" charset="0"/>
                  <a:cs typeface="Calibri" panose="020F0502020204030204" pitchFamily="34" charset="0"/>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2.1560532033799162E-2"/>
              <c:y val="0.11730897435897436"/>
            </c:manualLayout>
          </c:layout>
          <c:spPr>
            <a:noFill/>
            <a:ln>
              <a:noFill/>
            </a:ln>
            <a:effectLst/>
          </c:spPr>
          <c:txPr>
            <a:bodyPr rot="0" spcFirstLastPara="1" vertOverflow="ellipsis" vert="horz" wrap="square" anchor="ctr" anchorCtr="1"/>
            <a:lstStyle/>
            <a:p>
              <a:pPr>
                <a:defRPr sz="1000" b="1" i="0" u="none" strike="noStrike" kern="1200" cap="none" spc="0" baseline="0">
                  <a:ln w="0"/>
                  <a:solidFill>
                    <a:schemeClr val="bg1"/>
                  </a:solidFill>
                  <a:effectLst>
                    <a:outerShdw blurRad="38100" dist="19050" dir="2700000" algn="tl" rotWithShape="0">
                      <a:schemeClr val="dk1">
                        <a:alpha val="40000"/>
                      </a:schemeClr>
                    </a:outerShdw>
                  </a:effectLst>
                  <a:latin typeface="Calibri" panose="020F0502020204030204" pitchFamily="34" charset="0"/>
                  <a:ea typeface="Calibri" panose="020F0502020204030204" pitchFamily="34" charset="0"/>
                  <a:cs typeface="Calibri" panose="020F0502020204030204" pitchFamily="34" charset="0"/>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anchor="ctr" anchorCtr="1"/>
            <a:lstStyle/>
            <a:p>
              <a:pPr>
                <a:defRPr sz="1000" b="1" i="0" u="none" strike="noStrike" kern="1200" cap="none" spc="0" baseline="0">
                  <a:ln w="0"/>
                  <a:solidFill>
                    <a:schemeClr val="bg1"/>
                  </a:solidFill>
                  <a:effectLst>
                    <a:outerShdw blurRad="38100" dist="19050" dir="2700000" algn="tl" rotWithShape="0">
                      <a:schemeClr val="dk1">
                        <a:alpha val="40000"/>
                      </a:schemeClr>
                    </a:outerShdw>
                  </a:effectLst>
                  <a:latin typeface="Calibri" panose="020F0502020204030204" pitchFamily="34" charset="0"/>
                  <a:ea typeface="Calibri" panose="020F0502020204030204" pitchFamily="34" charset="0"/>
                  <a:cs typeface="Calibri" panose="020F0502020204030204" pitchFamily="34" charset="0"/>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2.1560532033799162E-2"/>
              <c:y val="0.11730897435897436"/>
            </c:manualLayout>
          </c:layout>
          <c:spPr>
            <a:noFill/>
            <a:ln>
              <a:noFill/>
            </a:ln>
            <a:effectLst/>
          </c:spPr>
          <c:txPr>
            <a:bodyPr rot="0" spcFirstLastPara="1" vertOverflow="ellipsis" vert="horz" wrap="square" anchor="ctr" anchorCtr="1"/>
            <a:lstStyle/>
            <a:p>
              <a:pPr>
                <a:defRPr sz="1000" b="1" i="0" u="none" strike="noStrike" kern="1200" cap="none" spc="0" baseline="0">
                  <a:ln w="0"/>
                  <a:solidFill>
                    <a:schemeClr val="bg1"/>
                  </a:solidFill>
                  <a:effectLst>
                    <a:outerShdw blurRad="38100" dist="19050" dir="2700000" algn="tl" rotWithShape="0">
                      <a:schemeClr val="dk1">
                        <a:alpha val="40000"/>
                      </a:schemeClr>
                    </a:outerShdw>
                  </a:effectLst>
                  <a:latin typeface="Calibri" panose="020F0502020204030204" pitchFamily="34" charset="0"/>
                  <a:ea typeface="Calibri" panose="020F0502020204030204" pitchFamily="34" charset="0"/>
                  <a:cs typeface="Calibri" panose="020F0502020204030204" pitchFamily="34" charset="0"/>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6.2115085382295092E-2"/>
          <c:y val="0.23824804381846634"/>
          <c:w val="0.3438202226018201"/>
          <c:h val="0.63353472222222218"/>
        </c:manualLayout>
      </c:layout>
      <c:pieChart>
        <c:varyColors val="1"/>
        <c:ser>
          <c:idx val="0"/>
          <c:order val="0"/>
          <c:tx>
            <c:strRef>
              <c:f>Graphs!$B$3:$B$4</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F250-4DCF-AF34-A054E68E298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F250-4DCF-AF34-A054E68E2988}"/>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F250-4DCF-AF34-A054E68E2988}"/>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F250-4DCF-AF34-A054E68E2988}"/>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F250-4DCF-AF34-A054E68E2988}"/>
              </c:ext>
            </c:extLst>
          </c:dPt>
          <c:dLbls>
            <c:dLbl>
              <c:idx val="4"/>
              <c:layout>
                <c:manualLayout>
                  <c:x val="2.1560532033799162E-2"/>
                  <c:y val="0.11730897435897436"/>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9-F250-4DCF-AF34-A054E68E2988}"/>
                </c:ext>
              </c:extLst>
            </c:dLbl>
            <c:spPr>
              <a:noFill/>
              <a:ln>
                <a:noFill/>
              </a:ln>
              <a:effectLst/>
            </c:spPr>
            <c:txPr>
              <a:bodyPr rot="0" spcFirstLastPara="1" vertOverflow="ellipsis" vert="horz" wrap="square" anchor="ctr" anchorCtr="1"/>
              <a:lstStyle/>
              <a:p>
                <a:pPr>
                  <a:defRPr sz="1000" b="1" i="0" u="none" strike="noStrike" kern="1200" cap="none" spc="0" baseline="0">
                    <a:ln w="0"/>
                    <a:solidFill>
                      <a:schemeClr val="bg1"/>
                    </a:solidFill>
                    <a:effectLst>
                      <a:outerShdw blurRad="38100" dist="19050" dir="2700000" algn="tl" rotWithShape="0">
                        <a:schemeClr val="dk1">
                          <a:alpha val="40000"/>
                        </a:schemeClr>
                      </a:outerShdw>
                    </a:effectLst>
                    <a:latin typeface="Calibri" panose="020F0502020204030204" pitchFamily="34" charset="0"/>
                    <a:ea typeface="Calibri" panose="020F0502020204030204" pitchFamily="34" charset="0"/>
                    <a:cs typeface="Calibri" panose="020F0502020204030204" pitchFamily="34" charset="0"/>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Graphs!$A$5:$A$10</c:f>
              <c:strCache>
                <c:ptCount val="5"/>
                <c:pt idx="0">
                  <c:v>Counterfeit - Unrealistic Inventory</c:v>
                </c:pt>
                <c:pt idx="1">
                  <c:v>Unauthorized use of Copyright image</c:v>
                </c:pt>
                <c:pt idx="2">
                  <c:v>Counterfeit - Variation</c:v>
                </c:pt>
                <c:pt idx="3">
                  <c:v>Unauthorised use of Trademark</c:v>
                </c:pt>
                <c:pt idx="4">
                  <c:v>Unauthorized use of Trademark Logo</c:v>
                </c:pt>
              </c:strCache>
            </c:strRef>
          </c:cat>
          <c:val>
            <c:numRef>
              <c:f>Graphs!$B$5:$B$10</c:f>
              <c:numCache>
                <c:formatCode>General</c:formatCode>
                <c:ptCount val="5"/>
                <c:pt idx="0">
                  <c:v>127</c:v>
                </c:pt>
                <c:pt idx="1">
                  <c:v>77</c:v>
                </c:pt>
                <c:pt idx="2">
                  <c:v>30</c:v>
                </c:pt>
                <c:pt idx="3">
                  <c:v>13</c:v>
                </c:pt>
                <c:pt idx="4">
                  <c:v>4</c:v>
                </c:pt>
              </c:numCache>
            </c:numRef>
          </c:val>
          <c:extLst>
            <c:ext xmlns:c16="http://schemas.microsoft.com/office/drawing/2014/chart" uri="{C3380CC4-5D6E-409C-BE32-E72D297353CC}">
              <c16:uniqueId val="{0000000B-F738-43F2-BF38-FCD571F3A873}"/>
            </c:ext>
          </c:extLst>
        </c:ser>
        <c:dLbls>
          <c:dLblPos val="outEnd"/>
          <c:showLegendKey val="0"/>
          <c:showVal val="0"/>
          <c:showCatName val="1"/>
          <c:showSerName val="0"/>
          <c:showPercent val="0"/>
          <c:showBubbleSize val="0"/>
          <c:showLeaderLines val="1"/>
        </c:dLbls>
        <c:firstSliceAng val="0"/>
      </c:pieChart>
      <c:spPr>
        <a:noFill/>
        <a:ln>
          <a:noFill/>
        </a:ln>
        <a:effectLst/>
      </c:spPr>
    </c:plotArea>
    <c:legend>
      <c:legendPos val="r"/>
      <c:layout>
        <c:manualLayout>
          <c:xMode val="edge"/>
          <c:yMode val="edge"/>
          <c:x val="0.41964481173056928"/>
          <c:y val="0.17211150234741787"/>
          <c:w val="0.54327326467106363"/>
          <c:h val="0.73348317683881059"/>
        </c:manualLayout>
      </c:layout>
      <c:overlay val="0"/>
      <c:spPr>
        <a:noFill/>
        <a:ln>
          <a:noFill/>
        </a:ln>
        <a:effectLst/>
      </c:spPr>
      <c:txPr>
        <a:bodyPr rot="0" spcFirstLastPara="1" vertOverflow="ellipsis" vert="horz" wrap="square" anchor="ctr" anchorCtr="1"/>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b="0" cap="none" spc="0">
          <a:ln w="0"/>
          <a:solidFill>
            <a:schemeClr val="tx1"/>
          </a:solidFill>
          <a:effectLst>
            <a:outerShdw blurRad="38100" dist="19050" dir="2700000" algn="tl" rotWithShape="0">
              <a:schemeClr val="dk1">
                <a:alpha val="40000"/>
              </a:schemeClr>
            </a:outerShdw>
          </a:effectLst>
          <a:latin typeface="Calibri" panose="020F0502020204030204" pitchFamily="34" charset="0"/>
          <a:ea typeface="Calibri" panose="020F0502020204030204" pitchFamily="34" charset="0"/>
          <a:cs typeface="Calibri" panose="020F050202020403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r>
              <a:rPr lang="en-IN" b="0" cap="none" spc="0">
                <a:ln w="0"/>
                <a:solidFill>
                  <a:schemeClr val="tx1"/>
                </a:solidFill>
                <a:effectLst>
                  <a:outerShdw blurRad="38100" dist="19050" dir="2700000" algn="tl" rotWithShape="0">
                    <a:schemeClr val="dk1">
                      <a:alpha val="40000"/>
                    </a:schemeClr>
                  </a:outerShdw>
                </a:effectLst>
              </a:rPr>
              <a:t>Monthly Trends (Last 6 months)</a:t>
            </a:r>
          </a:p>
        </c:rich>
      </c:tx>
      <c:overlay val="0"/>
      <c:spPr>
        <a:noFill/>
        <a:ln>
          <a:noFill/>
        </a:ln>
        <a:effectLst/>
      </c:spPr>
      <c:txPr>
        <a:bodyPr rot="0" spcFirstLastPara="1" vertOverflow="ellipsis" vert="horz" wrap="square" anchor="ctr" anchorCtr="1"/>
        <a:lstStyle/>
        <a:p>
          <a:pPr>
            <a:defRPr sz="144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title>
    <c:autoTitleDeleted val="0"/>
    <c:plotArea>
      <c:layout/>
      <c:lineChart>
        <c:grouping val="standard"/>
        <c:varyColors val="0"/>
        <c:ser>
          <c:idx val="0"/>
          <c:order val="0"/>
          <c:tx>
            <c:strRef>
              <c:f>Graphs!$AO$5</c:f>
              <c:strCache>
                <c:ptCount val="1"/>
                <c:pt idx="0">
                  <c:v>No. of Listings</c:v>
                </c:pt>
              </c:strCache>
            </c:strRef>
          </c:tx>
          <c:spPr>
            <a:ln w="38100" cap="rnd" cmpd="dbl" algn="ctr">
              <a:solidFill>
                <a:schemeClr val="accent1">
                  <a:shade val="95000"/>
                  <a:satMod val="105000"/>
                </a:schemeClr>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Graphs!$AN$6:$AN$11</c:f>
              <c:strCache>
                <c:ptCount val="6"/>
                <c:pt idx="0">
                  <c:v>Oct-2025</c:v>
                </c:pt>
                <c:pt idx="1">
                  <c:v>Nov-2025</c:v>
                </c:pt>
                <c:pt idx="2">
                  <c:v>Dec-2025</c:v>
                </c:pt>
                <c:pt idx="3">
                  <c:v>Jan-2026</c:v>
                </c:pt>
                <c:pt idx="4">
                  <c:v>Feb-2026</c:v>
                </c:pt>
                <c:pt idx="5">
                  <c:v>Mar-2026</c:v>
                </c:pt>
              </c:strCache>
            </c:strRef>
          </c:cat>
          <c:val>
            <c:numRef>
              <c:f>Graphs!$AO$6:$AO$11</c:f>
              <c:numCache>
                <c:formatCode>General</c:formatCode>
                <c:ptCount val="6"/>
                <c:pt idx="0">
                  <c:v>24</c:v>
                </c:pt>
                <c:pt idx="1">
                  <c:v>34</c:v>
                </c:pt>
                <c:pt idx="2">
                  <c:v>13</c:v>
                </c:pt>
                <c:pt idx="3">
                  <c:v>57</c:v>
                </c:pt>
                <c:pt idx="4">
                  <c:v>20</c:v>
                </c:pt>
                <c:pt idx="5">
                  <c:v>17</c:v>
                </c:pt>
              </c:numCache>
            </c:numRef>
          </c:val>
          <c:smooth val="0"/>
          <c:extLst>
            <c:ext xmlns:c16="http://schemas.microsoft.com/office/drawing/2014/chart" uri="{C3380CC4-5D6E-409C-BE32-E72D297353CC}">
              <c16:uniqueId val="{00000000-4BB8-49CE-A2F3-9DD5075B0FD2}"/>
            </c:ext>
          </c:extLst>
        </c:ser>
        <c:ser>
          <c:idx val="1"/>
          <c:order val="1"/>
          <c:tx>
            <c:strRef>
              <c:f>Graphs!$AP$5</c:f>
              <c:strCache>
                <c:ptCount val="1"/>
                <c:pt idx="0">
                  <c:v>No. of Sellers</c:v>
                </c:pt>
              </c:strCache>
            </c:strRef>
          </c:tx>
          <c:spPr>
            <a:ln w="38100" cap="rnd" cmpd="dbl" algn="ctr">
              <a:solidFill>
                <a:schemeClr val="accent2">
                  <a:shade val="95000"/>
                  <a:satMod val="105000"/>
                </a:schemeClr>
              </a:solidFill>
              <a:round/>
            </a:ln>
            <a:effectLst/>
          </c:spPr>
          <c:marker>
            <c:symbol val="circle"/>
            <c:size val="17"/>
            <c:spPr>
              <a:solidFill>
                <a:schemeClr val="accent2"/>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Graphs!$AN$6:$AN$11</c:f>
              <c:strCache>
                <c:ptCount val="6"/>
                <c:pt idx="0">
                  <c:v>Oct-2025</c:v>
                </c:pt>
                <c:pt idx="1">
                  <c:v>Nov-2025</c:v>
                </c:pt>
                <c:pt idx="2">
                  <c:v>Dec-2025</c:v>
                </c:pt>
                <c:pt idx="3">
                  <c:v>Jan-2026</c:v>
                </c:pt>
                <c:pt idx="4">
                  <c:v>Feb-2026</c:v>
                </c:pt>
                <c:pt idx="5">
                  <c:v>Mar-2026</c:v>
                </c:pt>
              </c:strCache>
            </c:strRef>
          </c:cat>
          <c:val>
            <c:numRef>
              <c:f>Graphs!$AP$6:$AP$11</c:f>
              <c:numCache>
                <c:formatCode>General</c:formatCode>
                <c:ptCount val="6"/>
                <c:pt idx="0">
                  <c:v>1</c:v>
                </c:pt>
                <c:pt idx="1">
                  <c:v>16</c:v>
                </c:pt>
                <c:pt idx="2">
                  <c:v>7</c:v>
                </c:pt>
                <c:pt idx="3">
                  <c:v>23</c:v>
                </c:pt>
                <c:pt idx="4">
                  <c:v>13</c:v>
                </c:pt>
                <c:pt idx="5">
                  <c:v>2</c:v>
                </c:pt>
              </c:numCache>
            </c:numRef>
          </c:val>
          <c:smooth val="0"/>
          <c:extLst>
            <c:ext xmlns:c16="http://schemas.microsoft.com/office/drawing/2014/chart" uri="{C3380CC4-5D6E-409C-BE32-E72D297353CC}">
              <c16:uniqueId val="{00000001-4BB8-49CE-A2F3-9DD5075B0FD2}"/>
            </c:ext>
          </c:extLst>
        </c:ser>
        <c:dLbls>
          <c:dLblPos val="ctr"/>
          <c:showLegendKey val="0"/>
          <c:showVal val="1"/>
          <c:showCatName val="0"/>
          <c:showSerName val="0"/>
          <c:showPercent val="0"/>
          <c:showBubbleSize val="0"/>
        </c:dLbls>
        <c:marker val="1"/>
        <c:smooth val="0"/>
        <c:axId val="1856741135"/>
        <c:axId val="1856747375"/>
      </c:lineChart>
      <c:catAx>
        <c:axId val="1856741135"/>
        <c:scaling>
          <c:orientation val="minMax"/>
        </c:scaling>
        <c:delete val="0"/>
        <c:axPos val="b"/>
        <c:minorGridlines>
          <c:spPr>
            <a:ln>
              <a:solidFill>
                <a:schemeClr val="dk1">
                  <a:lumMod val="5000"/>
                  <a:lumOff val="95000"/>
                </a:schemeClr>
              </a:solidFill>
            </a:ln>
            <a:effectLst/>
          </c:spPr>
        </c:min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Calibri" panose="020F0502020204030204" pitchFamily="34" charset="0"/>
                <a:ea typeface="Calibri" panose="020F0502020204030204" pitchFamily="34" charset="0"/>
                <a:cs typeface="Calibri" panose="020F0502020204030204" pitchFamily="34" charset="0"/>
              </a:defRPr>
            </a:pPr>
            <a:endParaRPr lang="en-US"/>
          </a:p>
        </c:txPr>
        <c:crossAx val="1856747375"/>
        <c:crosses val="autoZero"/>
        <c:auto val="1"/>
        <c:lblAlgn val="ctr"/>
        <c:lblOffset val="100"/>
        <c:noMultiLvlLbl val="0"/>
      </c:catAx>
      <c:valAx>
        <c:axId val="1856747375"/>
        <c:scaling>
          <c:orientation val="minMax"/>
        </c:scaling>
        <c:delete val="1"/>
        <c:axPos val="l"/>
        <c:numFmt formatCode="General" sourceLinked="1"/>
        <c:majorTickMark val="out"/>
        <c:minorTickMark val="none"/>
        <c:tickLblPos val="nextTo"/>
        <c:crossAx val="185674113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34">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1000" kern="120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cs:styleClr val="auto"/>
    </cs:fontRef>
    <cs:spPr/>
    <cs:defRPr sz="900" b="1" i="0" u="none" strike="noStrike" kern="1200" baseline="0"/>
  </cs:dataLabel>
  <cs:dataLabelCallout>
    <cs:lnRef idx="0"/>
    <cs:fillRef idx="0"/>
    <cs:effectRef idx="0"/>
    <cs:fontRef idx="minor">
      <a:schemeClr val="dk1">
        <a:lumMod val="65000"/>
        <a:lumOff val="35000"/>
      </a:schemeClr>
    </cs:fontRef>
    <cs:spPr>
      <a:solidFill>
        <a:schemeClr val="lt1"/>
      </a:solidFill>
      <a:ln w="9575">
        <a:solidFill>
          <a:schemeClr val="lt1">
            <a:lumMod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19050" cap="rnd" cmpd="sng" algn="ctr">
        <a:solidFill>
          <a:schemeClr val="phClr">
            <a:shade val="95000"/>
            <a:satMod val="105000"/>
          </a:schemeClr>
        </a:solidFill>
        <a:round/>
      </a:ln>
    </cs:spPr>
  </cs:dataPointLine>
  <cs:dataPointMarker>
    <cs:lnRef idx="0"/>
    <cs:fillRef idx="0"/>
    <cs:effectRef idx="0"/>
    <cs:fontRef idx="minor">
      <a:schemeClr val="dk1"/>
    </cs:fontRef>
    <cs:spPr>
      <a:solidFill>
        <a:schemeClr val="lt1"/>
      </a:solidFill>
    </cs:spPr>
  </cs:dataPointMarker>
  <cs:dataPointMarkerLayout symbol="circle" size="17"/>
  <cs:dataPointWireframe>
    <cs:lnRef idx="0">
      <cs:styleClr val="auto"/>
    </cs:lnRef>
    <cs:fillRef idx="1"/>
    <cs:effectRef idx="0"/>
    <cs:fontRef idx="minor">
      <a:schemeClr val="dk1"/>
    </cs:fontRef>
    <cs:spPr>
      <a:ln w="9525">
        <a:solidFill>
          <a:schemeClr val="phClr"/>
        </a:solidFill>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35000"/>
            <a:lumOff val="65000"/>
          </a:schemeClr>
        </a:solidFill>
      </a:ln>
    </cs:spPr>
  </cs:dropLine>
  <cs:errorBar>
    <cs:lnRef idx="0"/>
    <cs:fillRef idx="0"/>
    <cs:effectRef idx="0"/>
    <cs:fontRef idx="minor">
      <a:schemeClr val="dk1"/>
    </cs:fontRef>
    <cs:spPr>
      <a:ln w="9525">
        <a:solidFill>
          <a:schemeClr val="dk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ln>
    </cs:spPr>
  </cs:seriesLine>
  <cs:title>
    <cs:lnRef idx="0"/>
    <cs:fillRef idx="0"/>
    <cs:effectRef idx="0"/>
    <cs:fontRef idx="minor">
      <a:schemeClr val="dk1"/>
    </cs:fontRef>
    <cs:defRPr sz="1440" b="0" kern="1200" cap="all" spc="0" baseline="0">
      <a:gradFill>
        <a:gsLst>
          <a:gs pos="0">
            <a:schemeClr val="dk1">
              <a:lumMod val="50000"/>
              <a:lumOff val="50000"/>
            </a:schemeClr>
          </a:gs>
          <a:gs pos="100000">
            <a:schemeClr val="dk1">
              <a:lumMod val="85000"/>
              <a:lumOff val="15000"/>
            </a:schemeClr>
          </a:gs>
        </a:gsLst>
        <a:lin ang="5400000" scaled="0"/>
      </a:gradFill>
    </cs:defRPr>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50000"/>
            <a:lumOff val="50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7</xdr:col>
      <xdr:colOff>531588</xdr:colOff>
      <xdr:row>21</xdr:row>
      <xdr:rowOff>32652</xdr:rowOff>
    </xdr:from>
    <xdr:to>
      <xdr:col>9</xdr:col>
      <xdr:colOff>1077686</xdr:colOff>
      <xdr:row>35</xdr:row>
      <xdr:rowOff>1934</xdr:rowOff>
    </xdr:to>
    <xdr:graphicFrame macro="">
      <xdr:nvGraphicFramePr>
        <xdr:cNvPr id="2" name="Chart 1">
          <a:extLst>
            <a:ext uri="{FF2B5EF4-FFF2-40B4-BE49-F238E27FC236}">
              <a16:creationId xmlns:a16="http://schemas.microsoft.com/office/drawing/2014/main" id="{88816272-FB3D-4E76-8CA0-3CDEE4FA16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xdr:col>
      <xdr:colOff>609599</xdr:colOff>
      <xdr:row>21</xdr:row>
      <xdr:rowOff>24942</xdr:rowOff>
    </xdr:from>
    <xdr:to>
      <xdr:col>7</xdr:col>
      <xdr:colOff>481799</xdr:colOff>
      <xdr:row>34</xdr:row>
      <xdr:rowOff>175199</xdr:rowOff>
    </xdr:to>
    <xdr:graphicFrame macro="">
      <xdr:nvGraphicFramePr>
        <xdr:cNvPr id="3" name="Chart 2">
          <a:extLst>
            <a:ext uri="{FF2B5EF4-FFF2-40B4-BE49-F238E27FC236}">
              <a16:creationId xmlns:a16="http://schemas.microsoft.com/office/drawing/2014/main" id="{96BBC0B9-B179-458C-8E02-A54E8473F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9</xdr:col>
      <xdr:colOff>1113063</xdr:colOff>
      <xdr:row>21</xdr:row>
      <xdr:rowOff>36424</xdr:rowOff>
    </xdr:from>
    <xdr:to>
      <xdr:col>14</xdr:col>
      <xdr:colOff>1360</xdr:colOff>
      <xdr:row>35</xdr:row>
      <xdr:rowOff>1624</xdr:rowOff>
    </xdr:to>
    <xdr:graphicFrame macro="">
      <xdr:nvGraphicFramePr>
        <xdr:cNvPr id="4" name="Chart 3">
          <a:extLst>
            <a:ext uri="{FF2B5EF4-FFF2-40B4-BE49-F238E27FC236}">
              <a16:creationId xmlns:a16="http://schemas.microsoft.com/office/drawing/2014/main" id="{A14F25AD-9269-471C-9EA4-481071DFAF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xdr:col>
      <xdr:colOff>0</xdr:colOff>
      <xdr:row>7</xdr:row>
      <xdr:rowOff>185057</xdr:rowOff>
    </xdr:from>
    <xdr:to>
      <xdr:col>3</xdr:col>
      <xdr:colOff>544800</xdr:colOff>
      <xdr:row>10</xdr:row>
      <xdr:rowOff>248452</xdr:rowOff>
    </xdr:to>
    <mc:AlternateContent xmlns:mc="http://schemas.openxmlformats.org/markup-compatibility/2006" xmlns:a14="http://schemas.microsoft.com/office/drawing/2010/main">
      <mc:Choice Requires="a14">
        <xdr:graphicFrame macro="">
          <xdr:nvGraphicFramePr>
            <xdr:cNvPr id="5" name="POS Type 1">
              <a:extLst>
                <a:ext uri="{FF2B5EF4-FFF2-40B4-BE49-F238E27FC236}">
                  <a16:creationId xmlns:a16="http://schemas.microsoft.com/office/drawing/2014/main" id="{9857CB13-2C49-446E-803A-97ABE69FB342}"/>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OS Type 1"/>
            </a:graphicData>
          </a:graphic>
        </xdr:graphicFrame>
      </mc:Choice>
      <mc:Fallback xmlns="">
        <xdr:sp macro="" textlink="">
          <xdr:nvSpPr>
            <xdr:cNvPr id="0" name=""/>
            <xdr:cNvSpPr>
              <a:spLocks noTextEdit="1"/>
            </xdr:cNvSpPr>
          </xdr:nvSpPr>
          <xdr:spPr>
            <a:xfrm>
              <a:off x="646340" y="1470933"/>
              <a:ext cx="1837479" cy="96146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5</xdr:col>
      <xdr:colOff>43544</xdr:colOff>
      <xdr:row>2</xdr:row>
      <xdr:rowOff>108857</xdr:rowOff>
    </xdr:from>
    <xdr:to>
      <xdr:col>11</xdr:col>
      <xdr:colOff>827314</xdr:colOff>
      <xdr:row>7</xdr:row>
      <xdr:rowOff>144774</xdr:rowOff>
    </xdr:to>
    <mc:AlternateContent xmlns:mc="http://schemas.openxmlformats.org/markup-compatibility/2006" xmlns:a14="http://schemas.microsoft.com/office/drawing/2010/main">
      <mc:Choice Requires="a14">
        <xdr:graphicFrame macro="">
          <xdr:nvGraphicFramePr>
            <xdr:cNvPr id="6" name="Infringement Type 1">
              <a:extLst>
                <a:ext uri="{FF2B5EF4-FFF2-40B4-BE49-F238E27FC236}">
                  <a16:creationId xmlns:a16="http://schemas.microsoft.com/office/drawing/2014/main" id="{3E76D810-4760-4B26-BA2B-2F2C659662AC}"/>
                </a:ext>
              </a:extLst>
            </xdr:cNvPr>
            <xdr:cNvGraphicFramePr/>
          </xdr:nvGraphicFramePr>
          <xdr:xfrm>
            <a:off x="0" y="0"/>
            <a:ext cx="0" cy="0"/>
          </xdr:xfrm>
          <a:graphic>
            <a:graphicData uri="http://schemas.microsoft.com/office/drawing/2010/slicer">
              <sle:slicer xmlns:sle="http://schemas.microsoft.com/office/drawing/2010/slicer" name="Infringement Type 1"/>
            </a:graphicData>
          </a:graphic>
        </xdr:graphicFrame>
      </mc:Choice>
      <mc:Fallback xmlns="">
        <xdr:sp macro="" textlink="">
          <xdr:nvSpPr>
            <xdr:cNvPr id="0" name=""/>
            <xdr:cNvSpPr>
              <a:spLocks noTextEdit="1"/>
            </xdr:cNvSpPr>
          </xdr:nvSpPr>
          <xdr:spPr>
            <a:xfrm>
              <a:off x="3275241" y="476250"/>
              <a:ext cx="7383234" cy="9544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xdr:col>
      <xdr:colOff>13606</xdr:colOff>
      <xdr:row>10</xdr:row>
      <xdr:rowOff>271153</xdr:rowOff>
    </xdr:from>
    <xdr:to>
      <xdr:col>3</xdr:col>
      <xdr:colOff>533914</xdr:colOff>
      <xdr:row>13</xdr:row>
      <xdr:rowOff>87086</xdr:rowOff>
    </xdr:to>
    <mc:AlternateContent xmlns:mc="http://schemas.openxmlformats.org/markup-compatibility/2006" xmlns:a14="http://schemas.microsoft.com/office/drawing/2010/main">
      <mc:Choice Requires="a14">
        <xdr:graphicFrame macro="">
          <xdr:nvGraphicFramePr>
            <xdr:cNvPr id="7" name="Complaint Status 1">
              <a:extLst>
                <a:ext uri="{FF2B5EF4-FFF2-40B4-BE49-F238E27FC236}">
                  <a16:creationId xmlns:a16="http://schemas.microsoft.com/office/drawing/2014/main" id="{848CC901-AA49-42ED-ADB5-49F0867EC3B9}"/>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omplaint Status 1"/>
            </a:graphicData>
          </a:graphic>
        </xdr:graphicFrame>
      </mc:Choice>
      <mc:Fallback xmlns="">
        <xdr:sp macro="" textlink="">
          <xdr:nvSpPr>
            <xdr:cNvPr id="0" name=""/>
            <xdr:cNvSpPr>
              <a:spLocks noTextEdit="1"/>
            </xdr:cNvSpPr>
          </xdr:nvSpPr>
          <xdr:spPr>
            <a:xfrm>
              <a:off x="598714" y="2480953"/>
              <a:ext cx="1764000" cy="65413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xdr:col>
      <xdr:colOff>0</xdr:colOff>
      <xdr:row>16</xdr:row>
      <xdr:rowOff>23610</xdr:rowOff>
    </xdr:from>
    <xdr:to>
      <xdr:col>3</xdr:col>
      <xdr:colOff>544800</xdr:colOff>
      <xdr:row>24</xdr:row>
      <xdr:rowOff>180974</xdr:rowOff>
    </xdr:to>
    <mc:AlternateContent xmlns:mc="http://schemas.openxmlformats.org/markup-compatibility/2006" xmlns:a14="http://schemas.microsoft.com/office/drawing/2010/main">
      <mc:Choice Requires="a14">
        <xdr:graphicFrame macro="">
          <xdr:nvGraphicFramePr>
            <xdr:cNvPr id="8" name="Monitoring month (Month) 1">
              <a:extLst>
                <a:ext uri="{FF2B5EF4-FFF2-40B4-BE49-F238E27FC236}">
                  <a16:creationId xmlns:a16="http://schemas.microsoft.com/office/drawing/2014/main" id="{A47E6A7F-6FFD-47B3-9524-215BA1C0123C}"/>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onitoring month (Month) 1"/>
            </a:graphicData>
          </a:graphic>
        </xdr:graphicFrame>
      </mc:Choice>
      <mc:Fallback xmlns="">
        <xdr:sp macro="" textlink="">
          <xdr:nvSpPr>
            <xdr:cNvPr id="0" name=""/>
            <xdr:cNvSpPr>
              <a:spLocks noTextEdit="1"/>
            </xdr:cNvSpPr>
          </xdr:nvSpPr>
          <xdr:spPr>
            <a:xfrm>
              <a:off x="646340" y="3874431"/>
              <a:ext cx="1837479" cy="186506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xdr:col>
      <xdr:colOff>22764</xdr:colOff>
      <xdr:row>2</xdr:row>
      <xdr:rowOff>108857</xdr:rowOff>
    </xdr:from>
    <xdr:to>
      <xdr:col>4</xdr:col>
      <xdr:colOff>587829</xdr:colOff>
      <xdr:row>7</xdr:row>
      <xdr:rowOff>130628</xdr:rowOff>
    </xdr:to>
    <xdr:sp macro="" textlink="">
      <xdr:nvSpPr>
        <xdr:cNvPr id="9" name="Rectangle: Rounded Corners 8">
          <a:extLst>
            <a:ext uri="{FF2B5EF4-FFF2-40B4-BE49-F238E27FC236}">
              <a16:creationId xmlns:a16="http://schemas.microsoft.com/office/drawing/2014/main" id="{38D39F5F-DAE2-47E8-8181-657715BB8F1B}"/>
            </a:ext>
          </a:extLst>
        </xdr:cNvPr>
        <xdr:cNvSpPr/>
      </xdr:nvSpPr>
      <xdr:spPr>
        <a:xfrm>
          <a:off x="632364" y="478971"/>
          <a:ext cx="2393865" cy="947057"/>
        </a:xfrm>
        <a:prstGeom prst="round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IN" sz="2100" baseline="0">
              <a:latin typeface="Calibri" panose="020F0502020204030204" pitchFamily="34" charset="0"/>
              <a:ea typeface="Calibri" panose="020F0502020204030204" pitchFamily="34" charset="0"/>
              <a:cs typeface="Calibri" panose="020F0502020204030204" pitchFamily="34" charset="0"/>
            </a:rPr>
            <a:t>ABC Company- LIVE DASHBOARD</a:t>
          </a:r>
          <a:endParaRPr lang="en-IN" sz="2100">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561599</xdr:colOff>
      <xdr:row>2</xdr:row>
      <xdr:rowOff>43543</xdr:rowOff>
    </xdr:from>
    <xdr:to>
      <xdr:col>14</xdr:col>
      <xdr:colOff>67028</xdr:colOff>
      <xdr:row>35</xdr:row>
      <xdr:rowOff>65314</xdr:rowOff>
    </xdr:to>
    <xdr:sp macro="" textlink="">
      <xdr:nvSpPr>
        <xdr:cNvPr id="10" name="Rectangle 9">
          <a:extLst>
            <a:ext uri="{FF2B5EF4-FFF2-40B4-BE49-F238E27FC236}">
              <a16:creationId xmlns:a16="http://schemas.microsoft.com/office/drawing/2014/main" id="{5AB7054C-1275-42F6-9A1E-A60B7E3ADA02}"/>
            </a:ext>
          </a:extLst>
        </xdr:cNvPr>
        <xdr:cNvSpPr/>
      </xdr:nvSpPr>
      <xdr:spPr>
        <a:xfrm>
          <a:off x="561599" y="413657"/>
          <a:ext cx="11969572" cy="7271657"/>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97971</xdr:colOff>
      <xdr:row>25</xdr:row>
      <xdr:rowOff>101593</xdr:rowOff>
    </xdr:from>
    <xdr:to>
      <xdr:col>3</xdr:col>
      <xdr:colOff>426162</xdr:colOff>
      <xdr:row>29</xdr:row>
      <xdr:rowOff>119742</xdr:rowOff>
    </xdr:to>
    <xdr:sp macro="[0]!RefereshData" textlink="">
      <xdr:nvSpPr>
        <xdr:cNvPr id="11" name="Rectangle: Rounded Corners 10">
          <a:extLst>
            <a:ext uri="{FF2B5EF4-FFF2-40B4-BE49-F238E27FC236}">
              <a16:creationId xmlns:a16="http://schemas.microsoft.com/office/drawing/2014/main" id="{C273BFD8-5706-4F6B-81EC-73C44271C23F}"/>
            </a:ext>
          </a:extLst>
        </xdr:cNvPr>
        <xdr:cNvSpPr/>
      </xdr:nvSpPr>
      <xdr:spPr>
        <a:xfrm>
          <a:off x="707571" y="5849250"/>
          <a:ext cx="1547391" cy="758378"/>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IN" sz="1800">
              <a:latin typeface="Calibri" panose="020F0502020204030204" pitchFamily="34" charset="0"/>
              <a:ea typeface="Calibri" panose="020F0502020204030204" pitchFamily="34" charset="0"/>
              <a:cs typeface="Calibri" panose="020F0502020204030204" pitchFamily="34" charset="0"/>
            </a:rPr>
            <a:t>REFERESH</a:t>
          </a:r>
        </a:p>
        <a:p>
          <a:pPr algn="ctr"/>
          <a:r>
            <a:rPr lang="en-IN" sz="1800">
              <a:latin typeface="Calibri" panose="020F0502020204030204" pitchFamily="34" charset="0"/>
              <a:ea typeface="Calibri" panose="020F0502020204030204" pitchFamily="34" charset="0"/>
              <a:cs typeface="Calibri" panose="020F0502020204030204" pitchFamily="34" charset="0"/>
            </a:rPr>
            <a:t>DATA</a:t>
          </a:r>
        </a:p>
      </xdr:txBody>
    </xdr:sp>
    <xdr:clientData/>
  </xdr:twoCellAnchor>
  <xdr:twoCellAnchor>
    <xdr:from>
      <xdr:col>1</xdr:col>
      <xdr:colOff>108601</xdr:colOff>
      <xdr:row>30</xdr:row>
      <xdr:rowOff>85720</xdr:rowOff>
    </xdr:from>
    <xdr:to>
      <xdr:col>3</xdr:col>
      <xdr:colOff>436792</xdr:colOff>
      <xdr:row>34</xdr:row>
      <xdr:rowOff>99789</xdr:rowOff>
    </xdr:to>
    <xdr:sp macro="[0]!clear_all_fileters" textlink="">
      <xdr:nvSpPr>
        <xdr:cNvPr id="12" name="Rectangle: Rounded Corners 11">
          <a:extLst>
            <a:ext uri="{FF2B5EF4-FFF2-40B4-BE49-F238E27FC236}">
              <a16:creationId xmlns:a16="http://schemas.microsoft.com/office/drawing/2014/main" id="{E65EB5DC-EBC5-43D5-B399-4B32D3639526}"/>
            </a:ext>
            <a:ext uri="{147F2762-F138-4A5C-976F-8EAC2B608ADB}">
              <a16:predDERef xmlns:a16="http://schemas.microsoft.com/office/drawing/2014/main" pred="{89772DBA-5EF2-4EC4-91A5-EE531481D8FD}"/>
            </a:ext>
          </a:extLst>
        </xdr:cNvPr>
        <xdr:cNvSpPr/>
      </xdr:nvSpPr>
      <xdr:spPr>
        <a:xfrm>
          <a:off x="718201" y="6758663"/>
          <a:ext cx="1547391" cy="754297"/>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IN" sz="1800">
              <a:latin typeface="Calibri" panose="020F0502020204030204" pitchFamily="34" charset="0"/>
              <a:ea typeface="Calibri" panose="020F0502020204030204" pitchFamily="34" charset="0"/>
              <a:cs typeface="Calibri" panose="020F0502020204030204" pitchFamily="34" charset="0"/>
            </a:rPr>
            <a:t>CLEAR ALL</a:t>
          </a:r>
        </a:p>
        <a:p>
          <a:pPr algn="ctr"/>
          <a:r>
            <a:rPr lang="en-IN" sz="1800">
              <a:latin typeface="Calibri" panose="020F0502020204030204" pitchFamily="34" charset="0"/>
              <a:ea typeface="Calibri" panose="020F0502020204030204" pitchFamily="34" charset="0"/>
              <a:cs typeface="Calibri" panose="020F0502020204030204" pitchFamily="34" charset="0"/>
            </a:rPr>
            <a:t>FILETERS</a:t>
          </a:r>
        </a:p>
      </xdr:txBody>
    </xdr:sp>
    <xdr:clientData/>
  </xdr:twoCellAnchor>
  <xdr:twoCellAnchor>
    <xdr:from>
      <xdr:col>11</xdr:col>
      <xdr:colOff>926372</xdr:colOff>
      <xdr:row>2</xdr:row>
      <xdr:rowOff>113648</xdr:rowOff>
    </xdr:from>
    <xdr:to>
      <xdr:col>13</xdr:col>
      <xdr:colOff>826225</xdr:colOff>
      <xdr:row>7</xdr:row>
      <xdr:rowOff>136725</xdr:rowOff>
    </xdr:to>
    <xdr:sp macro="" textlink="">
      <xdr:nvSpPr>
        <xdr:cNvPr id="14" name="Rectangle: Rounded Corners 13">
          <a:extLst>
            <a:ext uri="{FF2B5EF4-FFF2-40B4-BE49-F238E27FC236}">
              <a16:creationId xmlns:a16="http://schemas.microsoft.com/office/drawing/2014/main" id="{E193EA45-AF04-4D22-8C1C-EEF53EC000D0}"/>
            </a:ext>
          </a:extLst>
        </xdr:cNvPr>
        <xdr:cNvSpPr/>
      </xdr:nvSpPr>
      <xdr:spPr>
        <a:xfrm>
          <a:off x="10298972" y="479408"/>
          <a:ext cx="2132513" cy="937477"/>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a:solidFill>
                <a:sysClr val="windowText" lastClr="000000"/>
              </a:solidFill>
            </a:rPr>
            <a:t>Company's Logo</a:t>
          </a:r>
        </a:p>
      </xdr:txBody>
    </xdr:sp>
    <xdr:clientData/>
  </xdr:twoCellAnchor>
  <xdr:twoCellAnchor editAs="oneCell">
    <xdr:from>
      <xdr:col>1</xdr:col>
      <xdr:colOff>0</xdr:colOff>
      <xdr:row>13</xdr:row>
      <xdr:rowOff>126276</xdr:rowOff>
    </xdr:from>
    <xdr:to>
      <xdr:col>3</xdr:col>
      <xdr:colOff>543226</xdr:colOff>
      <xdr:row>15</xdr:row>
      <xdr:rowOff>217716</xdr:rowOff>
    </xdr:to>
    <mc:AlternateContent xmlns:mc="http://schemas.openxmlformats.org/markup-compatibility/2006" xmlns:a14="http://schemas.microsoft.com/office/drawing/2010/main">
      <mc:Choice Requires="a14">
        <xdr:graphicFrame macro="">
          <xdr:nvGraphicFramePr>
            <xdr:cNvPr id="15" name="Year 1">
              <a:extLst>
                <a:ext uri="{FF2B5EF4-FFF2-40B4-BE49-F238E27FC236}">
                  <a16:creationId xmlns:a16="http://schemas.microsoft.com/office/drawing/2014/main" id="{1D71B080-F8B0-42C8-A392-2D2EDF583E1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646340" y="3153866"/>
              <a:ext cx="1835905" cy="6833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4</xdr:col>
      <xdr:colOff>10885</xdr:colOff>
      <xdr:row>11</xdr:row>
      <xdr:rowOff>87085</xdr:rowOff>
    </xdr:from>
    <xdr:to>
      <xdr:col>9</xdr:col>
      <xdr:colOff>1088570</xdr:colOff>
      <xdr:row>20</xdr:row>
      <xdr:rowOff>228601</xdr:rowOff>
    </xdr:to>
    <xdr:graphicFrame macro="">
      <xdr:nvGraphicFramePr>
        <xdr:cNvPr id="16" name="Chart 15">
          <a:extLst>
            <a:ext uri="{FF2B5EF4-FFF2-40B4-BE49-F238E27FC236}">
              <a16:creationId xmlns:a16="http://schemas.microsoft.com/office/drawing/2014/main" id="{F0B36C62-9C96-4C9B-BC0A-1BFCA2B144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1142998</xdr:colOff>
      <xdr:row>11</xdr:row>
      <xdr:rowOff>97971</xdr:rowOff>
    </xdr:from>
    <xdr:to>
      <xdr:col>14</xdr:col>
      <xdr:colOff>13455</xdr:colOff>
      <xdr:row>12</xdr:row>
      <xdr:rowOff>152400</xdr:rowOff>
    </xdr:to>
    <xdr:sp macro="" textlink="">
      <xdr:nvSpPr>
        <xdr:cNvPr id="17" name="Rectangle 16">
          <a:extLst>
            <a:ext uri="{FF2B5EF4-FFF2-40B4-BE49-F238E27FC236}">
              <a16:creationId xmlns:a16="http://schemas.microsoft.com/office/drawing/2014/main" id="{33B0953D-F6E9-091C-23F7-BBC73C9AB149}"/>
            </a:ext>
          </a:extLst>
        </xdr:cNvPr>
        <xdr:cNvSpPr/>
      </xdr:nvSpPr>
      <xdr:spPr>
        <a:xfrm>
          <a:off x="8229598" y="2775857"/>
          <a:ext cx="4248000" cy="239486"/>
        </a:xfrm>
        <a:prstGeom prst="rect">
          <a:avLst/>
        </a:prstGeom>
        <a:solidFill>
          <a:srgbClr val="D3561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t>Breakdown of Non‑Filed Listings</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ogesh Rajput" refreshedDate="46222.535028356484" backgroundQuery="1" createdVersion="8" refreshedVersion="8" minRefreshableVersion="3" recordCount="0" supportSubquery="1" supportAdvancedDrill="1" xr:uid="{DECB9EDB-FBE2-478B-870D-DA45E3C3292B}">
  <cacheSource type="external" connectionId="1"/>
  <cacheFields count="4">
    <cacheField name="[Cirrus_Tracker].[Infringement Type].[Infringement Type]" caption="Infringement Type" numFmtId="0" hierarchy="26" level="1">
      <sharedItems count="5">
        <s v="Counterfeit - Unrealistic Inventory"/>
        <s v="Counterfeit - Variation"/>
        <s v="Unauthorised use of Trademark"/>
        <s v="Unauthorized use of Copyright image"/>
        <s v="Unauthorized use of Trademark Logo"/>
      </sharedItems>
    </cacheField>
    <cacheField name="[Measures].[Count of Listing ID]" caption="Count of Listing ID" numFmtId="0" hierarchy="48" level="32767"/>
    <cacheField name="[Cirrus_Tracker].[Monitoring month].[Monitoring month]" caption="Monitoring month" numFmtId="0" hierarchy="1" level="1">
      <sharedItems containsSemiMixedTypes="0" containsNonDate="0" containsString="0"/>
    </cacheField>
    <cacheField name="[Cirrus_Tracker].[Monitoring month (Month)].[Monitoring month (Month)]" caption="Monitoring month (Month)" numFmtId="0" hierarchy="41" level="1">
      <sharedItems containsSemiMixedTypes="0" containsNonDate="0" containsString="0"/>
    </cacheField>
  </cacheFields>
  <cacheHierarchies count="53">
    <cacheHierarchy uniqueName="[Cirrus_Tracker].[Listing ID]" caption="Listing ID" attribute="1" defaultMemberUniqueName="[Cirrus_Tracker].[Listing ID].[All]" allUniqueName="[Cirrus_Tracker].[Listing ID].[All]" dimensionUniqueName="[Cirrus_Tracker]" displayFolder="" count="0" memberValueDatatype="130" unbalanced="0"/>
    <cacheHierarchy uniqueName="[Cirrus_Tracker].[Monitoring month]" caption="Monitoring month" attribute="1" time="1" defaultMemberUniqueName="[Cirrus_Tracker].[Monitoring month].[All]" allUniqueName="[Cirrus_Tracker].[Monitoring month].[All]" dimensionUniqueName="[Cirrus_Tracker]" displayFolder="" count="2" memberValueDatatype="7" unbalanced="0">
      <fieldsUsage count="2">
        <fieldUsage x="-1"/>
        <fieldUsage x="2"/>
      </fieldsUsage>
    </cacheHierarchy>
    <cacheHierarchy uniqueName="[Cirrus_Tracker].[Year]" caption="Year" attribute="1" defaultMemberUniqueName="[Cirrus_Tracker].[Year].[All]" allUniqueName="[Cirrus_Tracker].[Year].[All]" dimensionUniqueName="[Cirrus_Tracker]" displayFolder="" count="2" memberValueDatatype="20" unbalanced="0"/>
    <cacheHierarchy uniqueName="[Cirrus_Tracker].[Platform country]" caption="Platform country" attribute="1" defaultMemberUniqueName="[Cirrus_Tracker].[Platform country].[All]" allUniqueName="[Cirrus_Tracker].[Platform country].[All]" dimensionUniqueName="[Cirrus_Tracker]" displayFolder="" count="0" memberValueDatatype="130" unbalanced="0"/>
    <cacheHierarchy uniqueName="[Cirrus_Tracker].[POS Type]" caption="POS Type" attribute="1" defaultMemberUniqueName="[Cirrus_Tracker].[POS Type].[All]" allUniqueName="[Cirrus_Tracker].[POS Type].[All]" dimensionUniqueName="[Cirrus_Tracker]" displayFolder="" count="2" memberValueDatatype="130" unbalanced="0"/>
    <cacheHierarchy uniqueName="[Cirrus_Tracker].[Platform group]" caption="Platform group" attribute="1" defaultMemberUniqueName="[Cirrus_Tracker].[Platform group].[All]" allUniqueName="[Cirrus_Tracker].[Platform group].[All]" dimensionUniqueName="[Cirrus_Tracker]" displayFolder="" count="0" memberValueDatatype="130" unbalanced="0"/>
    <cacheHierarchy uniqueName="[Cirrus_Tracker].[Platform]" caption="Platform" attribute="1" defaultMemberUniqueName="[Cirrus_Tracker].[Platform].[All]" allUniqueName="[Cirrus_Tracker].[Platform].[All]" dimensionUniqueName="[Cirrus_Tracker]" displayFolder="" count="0" memberValueDatatype="130" unbalanced="0"/>
    <cacheHierarchy uniqueName="[Cirrus_Tracker].[Seller Flagged]" caption="Seller Flagged" attribute="1" defaultMemberUniqueName="[Cirrus_Tracker].[Seller Flagged].[All]" allUniqueName="[Cirrus_Tracker].[Seller Flagged].[All]" dimensionUniqueName="[Cirrus_Tracker]" displayFolder="" count="0" memberValueDatatype="130" unbalanced="0"/>
    <cacheHierarchy uniqueName="[Cirrus_Tracker].[Repeat Infringer]" caption="Repeat Infringer" attribute="1" defaultMemberUniqueName="[Cirrus_Tracker].[Repeat Infringer].[All]" allUniqueName="[Cirrus_Tracker].[Repeat Infringer].[All]" dimensionUniqueName="[Cirrus_Tracker]" displayFolder="" count="0" memberValueDatatype="130" unbalanced="0"/>
    <cacheHierarchy uniqueName="[Cirrus_Tracker].[Seller]" caption="Seller" attribute="1" defaultMemberUniqueName="[Cirrus_Tracker].[Seller].[All]" allUniqueName="[Cirrus_Tracker].[Seller].[All]" dimensionUniqueName="[Cirrus_Tracker]" displayFolder="" count="0" memberValueDatatype="130" unbalanced="0"/>
    <cacheHierarchy uniqueName="[Cirrus_Tracker].[Store URL]" caption="Store URL" attribute="1" defaultMemberUniqueName="[Cirrus_Tracker].[Store URL].[All]" allUniqueName="[Cirrus_Tracker].[Store URL].[All]" dimensionUniqueName="[Cirrus_Tracker]" displayFolder="" count="0" memberValueDatatype="130" unbalanced="0"/>
    <cacheHierarchy uniqueName="[Cirrus_Tracker].[Seller Business Type]" caption="Seller Business Type" attribute="1" defaultMemberUniqueName="[Cirrus_Tracker].[Seller Business Type].[All]" allUniqueName="[Cirrus_Tracker].[Seller Business Type].[All]" dimensionUniqueName="[Cirrus_Tracker]" displayFolder="" count="0" memberValueDatatype="130" unbalanced="0"/>
    <cacheHierarchy uniqueName="[Cirrus_Tracker].[Seller address]" caption="Seller address" attribute="1" defaultMemberUniqueName="[Cirrus_Tracker].[Seller address].[All]" allUniqueName="[Cirrus_Tracker].[Seller address].[All]" dimensionUniqueName="[Cirrus_Tracker]" displayFolder="" count="0" memberValueDatatype="130" unbalanced="0"/>
    <cacheHierarchy uniqueName="[Cirrus_Tracker].[Seller contact info]" caption="Seller contact info" attribute="1" defaultMemberUniqueName="[Cirrus_Tracker].[Seller contact info].[All]" allUniqueName="[Cirrus_Tracker].[Seller contact info].[All]" dimensionUniqueName="[Cirrus_Tracker]" displayFolder="" count="0" memberValueDatatype="130" unbalanced="0"/>
    <cacheHierarchy uniqueName="[Cirrus_Tracker].[Product Code]" caption="Product Code" attribute="1" defaultMemberUniqueName="[Cirrus_Tracker].[Product Code].[All]" allUniqueName="[Cirrus_Tracker].[Product Code].[All]" dimensionUniqueName="[Cirrus_Tracker]" displayFolder="" count="0" memberValueDatatype="130" unbalanced="0"/>
    <cacheHierarchy uniqueName="[Cirrus_Tracker].[Packmarks]" caption="Packmarks" attribute="1" defaultMemberUniqueName="[Cirrus_Tracker].[Packmarks].[All]" allUniqueName="[Cirrus_Tracker].[Packmarks].[All]" dimensionUniqueName="[Cirrus_Tracker]" displayFolder="" count="0" memberValueDatatype="130" unbalanced="0"/>
    <cacheHierarchy uniqueName="[Cirrus_Tracker].[Listing URL]" caption="Listing URL" attribute="1" defaultMemberUniqueName="[Cirrus_Tracker].[Listing URL].[All]" allUniqueName="[Cirrus_Tracker].[Listing URL].[All]" dimensionUniqueName="[Cirrus_Tracker]" displayFolder="" count="0" memberValueDatatype="130" unbalanced="0"/>
    <cacheHierarchy uniqueName="[Cirrus_Tracker].[Item No.]" caption="Item No." attribute="1" defaultMemberUniqueName="[Cirrus_Tracker].[Item No.].[All]" allUniqueName="[Cirrus_Tracker].[Item No.].[All]" dimensionUniqueName="[Cirrus_Tracker]" displayFolder="" count="0" memberValueDatatype="130" unbalanced="0"/>
    <cacheHierarchy uniqueName="[Cirrus_Tracker].[Product title]" caption="Product title" attribute="1" defaultMemberUniqueName="[Cirrus_Tracker].[Product title].[All]" allUniqueName="[Cirrus_Tracker].[Product title].[All]" dimensionUniqueName="[Cirrus_Tracker]" displayFolder="" count="0" memberValueDatatype="130" unbalanced="0"/>
    <cacheHierarchy uniqueName="[Cirrus_Tracker].[Advertised Price]" caption="Advertised Price" attribute="1" defaultMemberUniqueName="[Cirrus_Tracker].[Advertised Price].[All]" allUniqueName="[Cirrus_Tracker].[Advertised Price].[All]" dimensionUniqueName="[Cirrus_Tracker]" displayFolder="" count="0" memberValueDatatype="130" unbalanced="0"/>
    <cacheHierarchy uniqueName="[Cirrus_Tracker].[Currency]" caption="Currency" attribute="1" defaultMemberUniqueName="[Cirrus_Tracker].[Currency].[All]" allUniqueName="[Cirrus_Tracker].[Currency].[All]" dimensionUniqueName="[Cirrus_Tracker]" displayFolder="" count="0" memberValueDatatype="130" unbalanced="0"/>
    <cacheHierarchy uniqueName="[Cirrus_Tracker].[Advertised Price  (USD)]" caption="Advertised Price  (USD)" attribute="1" defaultMemberUniqueName="[Cirrus_Tracker].[Advertised Price  (USD)].[All]" allUniqueName="[Cirrus_Tracker].[Advertised Price  (USD)].[All]" dimensionUniqueName="[Cirrus_Tracker]" displayFolder="" count="0" memberValueDatatype="130" unbalanced="0"/>
    <cacheHierarchy uniqueName="[Cirrus_Tracker].[Official Price (USD)]" caption="Official Price (USD)" attribute="1" defaultMemberUniqueName="[Cirrus_Tracker].[Official Price (USD)].[All]" allUniqueName="[Cirrus_Tracker].[Official Price (USD)].[All]" dimensionUniqueName="[Cirrus_Tracker]" displayFolder="" count="0" memberValueDatatype="130" unbalanced="0"/>
    <cacheHierarchy uniqueName="[Cirrus_Tracker].[Discount %]" caption="Discount %" attribute="1" defaultMemberUniqueName="[Cirrus_Tracker].[Discount %].[All]" allUniqueName="[Cirrus_Tracker].[Discount %].[All]" dimensionUniqueName="[Cirrus_Tracker]" displayFolder="" count="0" memberValueDatatype="5" unbalanced="0"/>
    <cacheHierarchy uniqueName="[Cirrus_Tracker].[Stock (Units)]" caption="Stock (Units)" attribute="1" defaultMemberUniqueName="[Cirrus_Tracker].[Stock (Units)].[All]" allUniqueName="[Cirrus_Tracker].[Stock (Units)].[All]" dimensionUniqueName="[Cirrus_Tracker]" displayFolder="" count="0" memberValueDatatype="130" unbalanced="0"/>
    <cacheHierarchy uniqueName="[Cirrus_Tracker].[ATX Review Result]" caption="ATX Review Result" attribute="1" defaultMemberUniqueName="[Cirrus_Tracker].[ATX Review Result].[All]" allUniqueName="[Cirrus_Tracker].[ATX Review Result].[All]" dimensionUniqueName="[Cirrus_Tracker]" displayFolder="" count="0" memberValueDatatype="130" unbalanced="0"/>
    <cacheHierarchy uniqueName="[Cirrus_Tracker].[Infringement Type]" caption="Infringement Type" attribute="1" defaultMemberUniqueName="[Cirrus_Tracker].[Infringement Type].[All]" allUniqueName="[Cirrus_Tracker].[Infringement Type].[All]" dimensionUniqueName="[Cirrus_Tracker]" displayFolder="" count="2" memberValueDatatype="130" unbalanced="0">
      <fieldsUsage count="2">
        <fieldUsage x="-1"/>
        <fieldUsage x="0"/>
      </fieldsUsage>
    </cacheHierarchy>
    <cacheHierarchy uniqueName="[Cirrus_Tracker].[Risk indicator/Remarks]" caption="Risk indicator/Remarks" attribute="1" defaultMemberUniqueName="[Cirrus_Tracker].[Risk indicator/Remarks].[All]" allUniqueName="[Cirrus_Tracker].[Risk indicator/Remarks].[All]" dimensionUniqueName="[Cirrus_Tracker]" displayFolder="" count="0" memberValueDatatype="130" unbalanced="0"/>
    <cacheHierarchy uniqueName="[Cirrus_Tracker].[Complaint Draft/Evidence (PPT Slide Reference)]" caption="Complaint Draft/Evidence (PPT Slide Reference)" attribute="1" defaultMemberUniqueName="[Cirrus_Tracker].[Complaint Draft/Evidence (PPT Slide Reference)].[All]" allUniqueName="[Cirrus_Tracker].[Complaint Draft/Evidence (PPT Slide Reference)].[All]" dimensionUniqueName="[Cirrus_Tracker]" displayFolder="" count="0" memberValueDatatype="130" unbalanced="0"/>
    <cacheHierarchy uniqueName="[Cirrus_Tracker].[Feedback from ABC Company team]" caption="Feedback from ABC Company team" attribute="1" defaultMemberUniqueName="[Cirrus_Tracker].[Feedback from ABC Company team].[All]" allUniqueName="[Cirrus_Tracker].[Feedback from ABC Company team].[All]" dimensionUniqueName="[Cirrus_Tracker]" displayFolder="" count="0" memberValueDatatype="130" unbalanced="0"/>
    <cacheHierarchy uniqueName="[Cirrus_Tracker].[Test buy conducted (Yes/No)]" caption="Test buy conducted (Yes/No)" attribute="1" defaultMemberUniqueName="[Cirrus_Tracker].[Test buy conducted (Yes/No)].[All]" allUniqueName="[Cirrus_Tracker].[Test buy conducted (Yes/No)].[All]" dimensionUniqueName="[Cirrus_Tracker]" displayFolder="" count="0" memberValueDatatype="130" unbalanced="0"/>
    <cacheHierarchy uniqueName="[Cirrus_Tracker].[Test buy date]" caption="Test buy date" attribute="1" time="1" defaultMemberUniqueName="[Cirrus_Tracker].[Test buy date].[All]" allUniqueName="[Cirrus_Tracker].[Test buy date].[All]" dimensionUniqueName="[Cirrus_Tracker]" displayFolder="" count="0" memberValueDatatype="7" unbalanced="0"/>
    <cacheHierarchy uniqueName="[Cirrus_Tracker].[Test Buy Status]" caption="Test Buy Status" attribute="1" defaultMemberUniqueName="[Cirrus_Tracker].[Test Buy Status].[All]" allUniqueName="[Cirrus_Tracker].[Test Buy Status].[All]" dimensionUniqueName="[Cirrus_Tracker]" displayFolder="" count="0" memberValueDatatype="130" unbalanced="0"/>
    <cacheHierarchy uniqueName="[Cirrus_Tracker].[Test buy result]" caption="Test buy result" attribute="1" defaultMemberUniqueName="[Cirrus_Tracker].[Test buy result].[All]" allUniqueName="[Cirrus_Tracker].[Test buy result].[All]" dimensionUniqueName="[Cirrus_Tracker]" displayFolder="" count="0" memberValueDatatype="130" unbalanced="0"/>
    <cacheHierarchy uniqueName="[Cirrus_Tracker].[Complaint Status]" caption="Complaint Status" attribute="1" defaultMemberUniqueName="[Cirrus_Tracker].[Complaint Status].[All]" allUniqueName="[Cirrus_Tracker].[Complaint Status].[All]" dimensionUniqueName="[Cirrus_Tracker]" displayFolder="" count="2" memberValueDatatype="130" unbalanced="0"/>
    <cacheHierarchy uniqueName="[Cirrus_Tracker].[Not Filed Reason]" caption="Not Filed Reason" attribute="1" defaultMemberUniqueName="[Cirrus_Tracker].[Not Filed Reason].[All]" allUniqueName="[Cirrus_Tracker].[Not Filed Reason].[All]" dimensionUniqueName="[Cirrus_Tracker]" displayFolder="" count="0" memberValueDatatype="130" unbalanced="0"/>
    <cacheHierarchy uniqueName="[Cirrus_Tracker].[Complaint Date]" caption="Complaint Date" attribute="1" time="1" defaultMemberUniqueName="[Cirrus_Tracker].[Complaint Date].[All]" allUniqueName="[Cirrus_Tracker].[Complaint Date].[All]" dimensionUniqueName="[Cirrus_Tracker]" displayFolder="" count="0" memberValueDatatype="7" unbalanced="0"/>
    <cacheHierarchy uniqueName="[Cirrus_Tracker].[Complaint ID]" caption="Complaint ID" attribute="1" defaultMemberUniqueName="[Cirrus_Tracker].[Complaint ID].[All]" allUniqueName="[Cirrus_Tracker].[Complaint ID].[All]" dimensionUniqueName="[Cirrus_Tracker]" displayFolder="" count="0" memberValueDatatype="130" unbalanced="0"/>
    <cacheHierarchy uniqueName="[Cirrus_Tracker].[Takedown Status]" caption="Takedown Status" attribute="1" defaultMemberUniqueName="[Cirrus_Tracker].[Takedown Status].[All]" allUniqueName="[Cirrus_Tracker].[Takedown Status].[All]" dimensionUniqueName="[Cirrus_Tracker]" displayFolder="" count="0" memberValueDatatype="130" unbalanced="0"/>
    <cacheHierarchy uniqueName="[Cirrus_Tracker].[Takedown Date]" caption="Takedown Date" attribute="1" time="1" defaultMemberUniqueName="[Cirrus_Tracker].[Takedown Date].[All]" allUniqueName="[Cirrus_Tracker].[Takedown Date].[All]" dimensionUniqueName="[Cirrus_Tracker]" displayFolder="" count="0" memberValueDatatype="7" unbalanced="0"/>
    <cacheHierarchy uniqueName="[Cirrus_Tracker].[Next steps]" caption="Next steps" attribute="1" defaultMemberUniqueName="[Cirrus_Tracker].[Next steps].[All]" allUniqueName="[Cirrus_Tracker].[Next steps].[All]" dimensionUniqueName="[Cirrus_Tracker]" displayFolder="" count="0" memberValueDatatype="130" unbalanced="0"/>
    <cacheHierarchy uniqueName="[Cirrus_Tracker].[Monitoring month (Month)]" caption="Monitoring month (Month)" attribute="1" defaultMemberUniqueName="[Cirrus_Tracker].[Monitoring month (Month)].[All]" allUniqueName="[Cirrus_Tracker].[Monitoring month (Month)].[All]" dimensionUniqueName="[Cirrus_Tracker]" displayFolder="" count="2" memberValueDatatype="130" unbalanced="0">
      <fieldsUsage count="2">
        <fieldUsage x="-1"/>
        <fieldUsage x="3"/>
      </fieldsUsage>
    </cacheHierarchy>
    <cacheHierarchy uniqueName="[Cirrus_Tracker].[Monitoring month (Year)]" caption="Monitoring month (Year)" attribute="1" defaultMemberUniqueName="[Cirrus_Tracker].[Monitoring month (Year)].[All]" allUniqueName="[Cirrus_Tracker].[Monitoring month (Year)].[All]" dimensionUniqueName="[Cirrus_Tracker]" displayFolder="" count="0" memberValueDatatype="130" unbalanced="0"/>
    <cacheHierarchy uniqueName="[Cirrus_Tracker].[Monitoring month (Quarter)]" caption="Monitoring month (Quarter)" attribute="1" defaultMemberUniqueName="[Cirrus_Tracker].[Monitoring month (Quarter)].[All]" allUniqueName="[Cirrus_Tracker].[Monitoring month (Quarter)].[All]" dimensionUniqueName="[Cirrus_Tracker]" displayFolder="" count="0" memberValueDatatype="130" unbalanced="0"/>
    <cacheHierarchy uniqueName="[Cirrus_Tracker].[ATX remark on next steps]" caption="ATX remark on next steps" attribute="1" defaultMemberUniqueName="[Cirrus_Tracker].[ATX remark on next steps].[All]" allUniqueName="[Cirrus_Tracker].[ATX remark on next steps].[All]" dimensionUniqueName="[Cirrus_Tracker]" displayFolder="" count="0" memberValueDatatype="130" unbalanced="0"/>
    <cacheHierarchy uniqueName="[Cirrus_Tracker].[Monitoring month (Month Index)]" caption="Monitoring month (Month Index)" attribute="1" defaultMemberUniqueName="[Cirrus_Tracker].[Monitoring month (Month Index)].[All]" allUniqueName="[Cirrus_Tracker].[Monitoring month (Month Index)].[All]" dimensionUniqueName="[Cirrus_Tracker]" displayFolder="" count="0" memberValueDatatype="20" unbalanced="0" hidden="1"/>
    <cacheHierarchy uniqueName="[Measures].[__XL_Count Cirrus_Tracker]" caption="__XL_Count Cirrus_Tracker" measure="1" displayFolder="" measureGroup="Cirrus_Tracker" count="0" hidden="1"/>
    <cacheHierarchy uniqueName="[Measures].[__No measures defined]" caption="__No measures defined" measure="1" displayFolder="" count="0" hidden="1"/>
    <cacheHierarchy uniqueName="[Measures].[Count of Listing ID]" caption="Count of Listing ID" measure="1" displayFolder="" measureGroup="Cirrus_Tracker" count="0" oneField="1" hidden="1">
      <fieldsUsage count="1">
        <fieldUsage x="1"/>
      </fieldsUsage>
      <extLst>
        <ext xmlns:x15="http://schemas.microsoft.com/office/spreadsheetml/2010/11/main" uri="{B97F6D7D-B522-45F9-BDA1-12C45D357490}">
          <x15:cacheHierarchy aggregatedColumn="0"/>
        </ext>
      </extLst>
    </cacheHierarchy>
    <cacheHierarchy uniqueName="[Measures].[Count of Seller]" caption="Count of Seller" measure="1" displayFolder="" measureGroup="Cirrus_Tracker" count="0" hidden="1">
      <extLst>
        <ext xmlns:x15="http://schemas.microsoft.com/office/spreadsheetml/2010/11/main" uri="{B97F6D7D-B522-45F9-BDA1-12C45D357490}">
          <x15:cacheHierarchy aggregatedColumn="9"/>
        </ext>
      </extLst>
    </cacheHierarchy>
    <cacheHierarchy uniqueName="[Measures].[Distinct Count of Seller]" caption="Distinct Count of Seller" measure="1" displayFolder="" measureGroup="Cirrus_Tracker" count="0" hidden="1">
      <extLst>
        <ext xmlns:x15="http://schemas.microsoft.com/office/spreadsheetml/2010/11/main" uri="{B97F6D7D-B522-45F9-BDA1-12C45D357490}">
          <x15:cacheHierarchy aggregatedColumn="9"/>
        </ext>
      </extLst>
    </cacheHierarchy>
    <cacheHierarchy uniqueName="[Measures].[Count of Listing URL]" caption="Count of Listing URL" measure="1" displayFolder="" measureGroup="Cirrus_Tracker" count="0" hidden="1">
      <extLst>
        <ext xmlns:x15="http://schemas.microsoft.com/office/spreadsheetml/2010/11/main" uri="{B97F6D7D-B522-45F9-BDA1-12C45D357490}">
          <x15:cacheHierarchy aggregatedColumn="16"/>
        </ext>
      </extLst>
    </cacheHierarchy>
    <cacheHierarchy uniqueName="[Measures].[Distinct Count of Listing URL]" caption="Distinct Count of Listing URL" measure="1" displayFolder="" measureGroup="Cirrus_Tracker" count="0" hidden="1">
      <extLst>
        <ext xmlns:x15="http://schemas.microsoft.com/office/spreadsheetml/2010/11/main" uri="{B97F6D7D-B522-45F9-BDA1-12C45D357490}">
          <x15:cacheHierarchy aggregatedColumn="16"/>
        </ext>
      </extLst>
    </cacheHierarchy>
  </cacheHierarchies>
  <kpis count="0"/>
  <dimensions count="2">
    <dimension name="Cirrus_Tracker" uniqueName="[Cirrus_Tracker]" caption="Cirrus_Tracker"/>
    <dimension measure="1" name="Measures" uniqueName="[Measures]" caption="Measures"/>
  </dimensions>
  <measureGroups count="1">
    <measureGroup name="Cirrus_Tracker" caption="Cirrus_Tracker"/>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ogesh Rajput" refreshedDate="46222.535028703707" backgroundQuery="1" createdVersion="8" refreshedVersion="8" minRefreshableVersion="3" recordCount="0" supportSubquery="1" supportAdvancedDrill="1" xr:uid="{96523248-AC6E-4ECA-828B-E253CDEB5217}">
  <cacheSource type="external" connectionId="1"/>
  <cacheFields count="6">
    <cacheField name="[Measures].[Count of Listing ID]" caption="Count of Listing ID" numFmtId="0" hierarchy="48" level="32767"/>
    <cacheField name="[Cirrus_Tracker].[Takedown Status].[Takedown Status]" caption="Takedown Status" numFmtId="0" hierarchy="38" level="1">
      <sharedItems containsSemiMixedTypes="0" containsNonDate="0" containsString="0"/>
    </cacheField>
    <cacheField name="[Cirrus_Tracker].[Complaint Status].[Complaint Status]" caption="Complaint Status" numFmtId="0" hierarchy="34" level="1">
      <sharedItems containsSemiMixedTypes="0" containsNonDate="0" containsString="0"/>
    </cacheField>
    <cacheField name="[Cirrus_Tracker].[Not Filed Reason].[Not Filed Reason]" caption="Not Filed Reason" numFmtId="0" hierarchy="35" level="1">
      <sharedItems count="6">
        <s v="ABC Company Team evaluating Test-Purchased product"/>
        <s v="Authentic Product - Not to be filed"/>
        <s v="Awaiting ABC Company team Confirmation"/>
        <s v="Inactive prior enforcement"/>
        <s v="Infringement Removed prior to enforcement"/>
        <s v="Not to be filed as per ABC Company team instructions"/>
      </sharedItems>
    </cacheField>
    <cacheField name="[Cirrus_Tracker].[Monitoring month].[Monitoring month]" caption="Monitoring month" numFmtId="0" hierarchy="1" level="1">
      <sharedItems containsSemiMixedTypes="0" containsNonDate="0" containsString="0"/>
    </cacheField>
    <cacheField name="[Cirrus_Tracker].[Monitoring month (Month)].[Monitoring month (Month)]" caption="Monitoring month (Month)" numFmtId="0" hierarchy="41" level="1">
      <sharedItems containsSemiMixedTypes="0" containsNonDate="0" containsString="0"/>
    </cacheField>
  </cacheFields>
  <cacheHierarchies count="53">
    <cacheHierarchy uniqueName="[Cirrus_Tracker].[Listing ID]" caption="Listing ID" attribute="1" defaultMemberUniqueName="[Cirrus_Tracker].[Listing ID].[All]" allUniqueName="[Cirrus_Tracker].[Listing ID].[All]" dimensionUniqueName="[Cirrus_Tracker]" displayFolder="" count="0" memberValueDatatype="130" unbalanced="0"/>
    <cacheHierarchy uniqueName="[Cirrus_Tracker].[Monitoring month]" caption="Monitoring month" attribute="1" time="1" defaultMemberUniqueName="[Cirrus_Tracker].[Monitoring month].[All]" allUniqueName="[Cirrus_Tracker].[Monitoring month].[All]" dimensionUniqueName="[Cirrus_Tracker]" displayFolder="" count="2" memberValueDatatype="7" unbalanced="0">
      <fieldsUsage count="2">
        <fieldUsage x="-1"/>
        <fieldUsage x="4"/>
      </fieldsUsage>
    </cacheHierarchy>
    <cacheHierarchy uniqueName="[Cirrus_Tracker].[Year]" caption="Year" attribute="1" defaultMemberUniqueName="[Cirrus_Tracker].[Year].[All]" allUniqueName="[Cirrus_Tracker].[Year].[All]" dimensionUniqueName="[Cirrus_Tracker]" displayFolder="" count="2" memberValueDatatype="20" unbalanced="0"/>
    <cacheHierarchy uniqueName="[Cirrus_Tracker].[Platform country]" caption="Platform country" attribute="1" defaultMemberUniqueName="[Cirrus_Tracker].[Platform country].[All]" allUniqueName="[Cirrus_Tracker].[Platform country].[All]" dimensionUniqueName="[Cirrus_Tracker]" displayFolder="" count="0" memberValueDatatype="130" unbalanced="0"/>
    <cacheHierarchy uniqueName="[Cirrus_Tracker].[POS Type]" caption="POS Type" attribute="1" defaultMemberUniqueName="[Cirrus_Tracker].[POS Type].[All]" allUniqueName="[Cirrus_Tracker].[POS Type].[All]" dimensionUniqueName="[Cirrus_Tracker]" displayFolder="" count="2" memberValueDatatype="130" unbalanced="0"/>
    <cacheHierarchy uniqueName="[Cirrus_Tracker].[Platform group]" caption="Platform group" attribute="1" defaultMemberUniqueName="[Cirrus_Tracker].[Platform group].[All]" allUniqueName="[Cirrus_Tracker].[Platform group].[All]" dimensionUniqueName="[Cirrus_Tracker]" displayFolder="" count="0" memberValueDatatype="130" unbalanced="0"/>
    <cacheHierarchy uniqueName="[Cirrus_Tracker].[Platform]" caption="Platform" attribute="1" defaultMemberUniqueName="[Cirrus_Tracker].[Platform].[All]" allUniqueName="[Cirrus_Tracker].[Platform].[All]" dimensionUniqueName="[Cirrus_Tracker]" displayFolder="" count="0" memberValueDatatype="130" unbalanced="0"/>
    <cacheHierarchy uniqueName="[Cirrus_Tracker].[Seller Flagged]" caption="Seller Flagged" attribute="1" defaultMemberUniqueName="[Cirrus_Tracker].[Seller Flagged].[All]" allUniqueName="[Cirrus_Tracker].[Seller Flagged].[All]" dimensionUniqueName="[Cirrus_Tracker]" displayFolder="" count="0" memberValueDatatype="130" unbalanced="0"/>
    <cacheHierarchy uniqueName="[Cirrus_Tracker].[Repeat Infringer]" caption="Repeat Infringer" attribute="1" defaultMemberUniqueName="[Cirrus_Tracker].[Repeat Infringer].[All]" allUniqueName="[Cirrus_Tracker].[Repeat Infringer].[All]" dimensionUniqueName="[Cirrus_Tracker]" displayFolder="" count="0" memberValueDatatype="130" unbalanced="0"/>
    <cacheHierarchy uniqueName="[Cirrus_Tracker].[Seller]" caption="Seller" attribute="1" defaultMemberUniqueName="[Cirrus_Tracker].[Seller].[All]" allUniqueName="[Cirrus_Tracker].[Seller].[All]" dimensionUniqueName="[Cirrus_Tracker]" displayFolder="" count="0" memberValueDatatype="130" unbalanced="0"/>
    <cacheHierarchy uniqueName="[Cirrus_Tracker].[Store URL]" caption="Store URL" attribute="1" defaultMemberUniqueName="[Cirrus_Tracker].[Store URL].[All]" allUniqueName="[Cirrus_Tracker].[Store URL].[All]" dimensionUniqueName="[Cirrus_Tracker]" displayFolder="" count="0" memberValueDatatype="130" unbalanced="0"/>
    <cacheHierarchy uniqueName="[Cirrus_Tracker].[Seller Business Type]" caption="Seller Business Type" attribute="1" defaultMemberUniqueName="[Cirrus_Tracker].[Seller Business Type].[All]" allUniqueName="[Cirrus_Tracker].[Seller Business Type].[All]" dimensionUniqueName="[Cirrus_Tracker]" displayFolder="" count="0" memberValueDatatype="130" unbalanced="0"/>
    <cacheHierarchy uniqueName="[Cirrus_Tracker].[Seller address]" caption="Seller address" attribute="1" defaultMemberUniqueName="[Cirrus_Tracker].[Seller address].[All]" allUniqueName="[Cirrus_Tracker].[Seller address].[All]" dimensionUniqueName="[Cirrus_Tracker]" displayFolder="" count="0" memberValueDatatype="130" unbalanced="0"/>
    <cacheHierarchy uniqueName="[Cirrus_Tracker].[Seller contact info]" caption="Seller contact info" attribute="1" defaultMemberUniqueName="[Cirrus_Tracker].[Seller contact info].[All]" allUniqueName="[Cirrus_Tracker].[Seller contact info].[All]" dimensionUniqueName="[Cirrus_Tracker]" displayFolder="" count="0" memberValueDatatype="130" unbalanced="0"/>
    <cacheHierarchy uniqueName="[Cirrus_Tracker].[Product Code]" caption="Product Code" attribute="1" defaultMemberUniqueName="[Cirrus_Tracker].[Product Code].[All]" allUniqueName="[Cirrus_Tracker].[Product Code].[All]" dimensionUniqueName="[Cirrus_Tracker]" displayFolder="" count="0" memberValueDatatype="130" unbalanced="0"/>
    <cacheHierarchy uniqueName="[Cirrus_Tracker].[Packmarks]" caption="Packmarks" attribute="1" defaultMemberUniqueName="[Cirrus_Tracker].[Packmarks].[All]" allUniqueName="[Cirrus_Tracker].[Packmarks].[All]" dimensionUniqueName="[Cirrus_Tracker]" displayFolder="" count="0" memberValueDatatype="130" unbalanced="0"/>
    <cacheHierarchy uniqueName="[Cirrus_Tracker].[Listing URL]" caption="Listing URL" attribute="1" defaultMemberUniqueName="[Cirrus_Tracker].[Listing URL].[All]" allUniqueName="[Cirrus_Tracker].[Listing URL].[All]" dimensionUniqueName="[Cirrus_Tracker]" displayFolder="" count="0" memberValueDatatype="130" unbalanced="0"/>
    <cacheHierarchy uniqueName="[Cirrus_Tracker].[Item No.]" caption="Item No." attribute="1" defaultMemberUniqueName="[Cirrus_Tracker].[Item No.].[All]" allUniqueName="[Cirrus_Tracker].[Item No.].[All]" dimensionUniqueName="[Cirrus_Tracker]" displayFolder="" count="0" memberValueDatatype="130" unbalanced="0"/>
    <cacheHierarchy uniqueName="[Cirrus_Tracker].[Product title]" caption="Product title" attribute="1" defaultMemberUniqueName="[Cirrus_Tracker].[Product title].[All]" allUniqueName="[Cirrus_Tracker].[Product title].[All]" dimensionUniqueName="[Cirrus_Tracker]" displayFolder="" count="0" memberValueDatatype="130" unbalanced="0"/>
    <cacheHierarchy uniqueName="[Cirrus_Tracker].[Advertised Price]" caption="Advertised Price" attribute="1" defaultMemberUniqueName="[Cirrus_Tracker].[Advertised Price].[All]" allUniqueName="[Cirrus_Tracker].[Advertised Price].[All]" dimensionUniqueName="[Cirrus_Tracker]" displayFolder="" count="0" memberValueDatatype="130" unbalanced="0"/>
    <cacheHierarchy uniqueName="[Cirrus_Tracker].[Currency]" caption="Currency" attribute="1" defaultMemberUniqueName="[Cirrus_Tracker].[Currency].[All]" allUniqueName="[Cirrus_Tracker].[Currency].[All]" dimensionUniqueName="[Cirrus_Tracker]" displayFolder="" count="0" memberValueDatatype="130" unbalanced="0"/>
    <cacheHierarchy uniqueName="[Cirrus_Tracker].[Advertised Price  (USD)]" caption="Advertised Price  (USD)" attribute="1" defaultMemberUniqueName="[Cirrus_Tracker].[Advertised Price  (USD)].[All]" allUniqueName="[Cirrus_Tracker].[Advertised Price  (USD)].[All]" dimensionUniqueName="[Cirrus_Tracker]" displayFolder="" count="0" memberValueDatatype="130" unbalanced="0"/>
    <cacheHierarchy uniqueName="[Cirrus_Tracker].[Official Price (USD)]" caption="Official Price (USD)" attribute="1" defaultMemberUniqueName="[Cirrus_Tracker].[Official Price (USD)].[All]" allUniqueName="[Cirrus_Tracker].[Official Price (USD)].[All]" dimensionUniqueName="[Cirrus_Tracker]" displayFolder="" count="0" memberValueDatatype="130" unbalanced="0"/>
    <cacheHierarchy uniqueName="[Cirrus_Tracker].[Discount %]" caption="Discount %" attribute="1" defaultMemberUniqueName="[Cirrus_Tracker].[Discount %].[All]" allUniqueName="[Cirrus_Tracker].[Discount %].[All]" dimensionUniqueName="[Cirrus_Tracker]" displayFolder="" count="0" memberValueDatatype="5" unbalanced="0"/>
    <cacheHierarchy uniqueName="[Cirrus_Tracker].[Stock (Units)]" caption="Stock (Units)" attribute="1" defaultMemberUniqueName="[Cirrus_Tracker].[Stock (Units)].[All]" allUniqueName="[Cirrus_Tracker].[Stock (Units)].[All]" dimensionUniqueName="[Cirrus_Tracker]" displayFolder="" count="0" memberValueDatatype="130" unbalanced="0"/>
    <cacheHierarchy uniqueName="[Cirrus_Tracker].[ATX Review Result]" caption="ATX Review Result" attribute="1" defaultMemberUniqueName="[Cirrus_Tracker].[ATX Review Result].[All]" allUniqueName="[Cirrus_Tracker].[ATX Review Result].[All]" dimensionUniqueName="[Cirrus_Tracker]" displayFolder="" count="0" memberValueDatatype="130" unbalanced="0"/>
    <cacheHierarchy uniqueName="[Cirrus_Tracker].[Infringement Type]" caption="Infringement Type" attribute="1" defaultMemberUniqueName="[Cirrus_Tracker].[Infringement Type].[All]" allUniqueName="[Cirrus_Tracker].[Infringement Type].[All]" dimensionUniqueName="[Cirrus_Tracker]" displayFolder="" count="0" memberValueDatatype="130" unbalanced="0"/>
    <cacheHierarchy uniqueName="[Cirrus_Tracker].[Risk indicator/Remarks]" caption="Risk indicator/Remarks" attribute="1" defaultMemberUniqueName="[Cirrus_Tracker].[Risk indicator/Remarks].[All]" allUniqueName="[Cirrus_Tracker].[Risk indicator/Remarks].[All]" dimensionUniqueName="[Cirrus_Tracker]" displayFolder="" count="0" memberValueDatatype="130" unbalanced="0"/>
    <cacheHierarchy uniqueName="[Cirrus_Tracker].[Complaint Draft/Evidence (PPT Slide Reference)]" caption="Complaint Draft/Evidence (PPT Slide Reference)" attribute="1" defaultMemberUniqueName="[Cirrus_Tracker].[Complaint Draft/Evidence (PPT Slide Reference)].[All]" allUniqueName="[Cirrus_Tracker].[Complaint Draft/Evidence (PPT Slide Reference)].[All]" dimensionUniqueName="[Cirrus_Tracker]" displayFolder="" count="0" memberValueDatatype="130" unbalanced="0"/>
    <cacheHierarchy uniqueName="[Cirrus_Tracker].[Feedback from ABC Company team]" caption="Feedback from ABC Company team" attribute="1" defaultMemberUniqueName="[Cirrus_Tracker].[Feedback from ABC Company team].[All]" allUniqueName="[Cirrus_Tracker].[Feedback from ABC Company team].[All]" dimensionUniqueName="[Cirrus_Tracker]" displayFolder="" count="0" memberValueDatatype="130" unbalanced="0"/>
    <cacheHierarchy uniqueName="[Cirrus_Tracker].[Test buy conducted (Yes/No)]" caption="Test buy conducted (Yes/No)" attribute="1" defaultMemberUniqueName="[Cirrus_Tracker].[Test buy conducted (Yes/No)].[All]" allUniqueName="[Cirrus_Tracker].[Test buy conducted (Yes/No)].[All]" dimensionUniqueName="[Cirrus_Tracker]" displayFolder="" count="0" memberValueDatatype="130" unbalanced="0"/>
    <cacheHierarchy uniqueName="[Cirrus_Tracker].[Test buy date]" caption="Test buy date" attribute="1" time="1" defaultMemberUniqueName="[Cirrus_Tracker].[Test buy date].[All]" allUniqueName="[Cirrus_Tracker].[Test buy date].[All]" dimensionUniqueName="[Cirrus_Tracker]" displayFolder="" count="0" memberValueDatatype="7" unbalanced="0"/>
    <cacheHierarchy uniqueName="[Cirrus_Tracker].[Test Buy Status]" caption="Test Buy Status" attribute="1" defaultMemberUniqueName="[Cirrus_Tracker].[Test Buy Status].[All]" allUniqueName="[Cirrus_Tracker].[Test Buy Status].[All]" dimensionUniqueName="[Cirrus_Tracker]" displayFolder="" count="0" memberValueDatatype="130" unbalanced="0"/>
    <cacheHierarchy uniqueName="[Cirrus_Tracker].[Test buy result]" caption="Test buy result" attribute="1" defaultMemberUniqueName="[Cirrus_Tracker].[Test buy result].[All]" allUniqueName="[Cirrus_Tracker].[Test buy result].[All]" dimensionUniqueName="[Cirrus_Tracker]" displayFolder="" count="0" memberValueDatatype="130" unbalanced="0"/>
    <cacheHierarchy uniqueName="[Cirrus_Tracker].[Complaint Status]" caption="Complaint Status" attribute="1" defaultMemberUniqueName="[Cirrus_Tracker].[Complaint Status].[All]" allUniqueName="[Cirrus_Tracker].[Complaint Status].[All]" dimensionUniqueName="[Cirrus_Tracker]" displayFolder="" count="2" memberValueDatatype="130" unbalanced="0">
      <fieldsUsage count="2">
        <fieldUsage x="-1"/>
        <fieldUsage x="2"/>
      </fieldsUsage>
    </cacheHierarchy>
    <cacheHierarchy uniqueName="[Cirrus_Tracker].[Not Filed Reason]" caption="Not Filed Reason" attribute="1" defaultMemberUniqueName="[Cirrus_Tracker].[Not Filed Reason].[All]" allUniqueName="[Cirrus_Tracker].[Not Filed Reason].[All]" dimensionUniqueName="[Cirrus_Tracker]" displayFolder="" count="2" memberValueDatatype="130" unbalanced="0">
      <fieldsUsage count="2">
        <fieldUsage x="-1"/>
        <fieldUsage x="3"/>
      </fieldsUsage>
    </cacheHierarchy>
    <cacheHierarchy uniqueName="[Cirrus_Tracker].[Complaint Date]" caption="Complaint Date" attribute="1" time="1" defaultMemberUniqueName="[Cirrus_Tracker].[Complaint Date].[All]" allUniqueName="[Cirrus_Tracker].[Complaint Date].[All]" dimensionUniqueName="[Cirrus_Tracker]" displayFolder="" count="0" memberValueDatatype="7" unbalanced="0"/>
    <cacheHierarchy uniqueName="[Cirrus_Tracker].[Complaint ID]" caption="Complaint ID" attribute="1" defaultMemberUniqueName="[Cirrus_Tracker].[Complaint ID].[All]" allUniqueName="[Cirrus_Tracker].[Complaint ID].[All]" dimensionUniqueName="[Cirrus_Tracker]" displayFolder="" count="0" memberValueDatatype="130" unbalanced="0"/>
    <cacheHierarchy uniqueName="[Cirrus_Tracker].[Takedown Status]" caption="Takedown Status" attribute="1" defaultMemberUniqueName="[Cirrus_Tracker].[Takedown Status].[All]" allUniqueName="[Cirrus_Tracker].[Takedown Status].[All]" dimensionUniqueName="[Cirrus_Tracker]" displayFolder="" count="2" memberValueDatatype="130" unbalanced="0">
      <fieldsUsage count="2">
        <fieldUsage x="-1"/>
        <fieldUsage x="1"/>
      </fieldsUsage>
    </cacheHierarchy>
    <cacheHierarchy uniqueName="[Cirrus_Tracker].[Takedown Date]" caption="Takedown Date" attribute="1" time="1" defaultMemberUniqueName="[Cirrus_Tracker].[Takedown Date].[All]" allUniqueName="[Cirrus_Tracker].[Takedown Date].[All]" dimensionUniqueName="[Cirrus_Tracker]" displayFolder="" count="0" memberValueDatatype="7" unbalanced="0"/>
    <cacheHierarchy uniqueName="[Cirrus_Tracker].[Next steps]" caption="Next steps" attribute="1" defaultMemberUniqueName="[Cirrus_Tracker].[Next steps].[All]" allUniqueName="[Cirrus_Tracker].[Next steps].[All]" dimensionUniqueName="[Cirrus_Tracker]" displayFolder="" count="0" memberValueDatatype="130" unbalanced="0"/>
    <cacheHierarchy uniqueName="[Cirrus_Tracker].[Monitoring month (Month)]" caption="Monitoring month (Month)" attribute="1" defaultMemberUniqueName="[Cirrus_Tracker].[Monitoring month (Month)].[All]" allUniqueName="[Cirrus_Tracker].[Monitoring month (Month)].[All]" dimensionUniqueName="[Cirrus_Tracker]" displayFolder="" count="2" memberValueDatatype="130" unbalanced="0">
      <fieldsUsage count="2">
        <fieldUsage x="-1"/>
        <fieldUsage x="5"/>
      </fieldsUsage>
    </cacheHierarchy>
    <cacheHierarchy uniqueName="[Cirrus_Tracker].[Monitoring month (Year)]" caption="Monitoring month (Year)" attribute="1" defaultMemberUniqueName="[Cirrus_Tracker].[Monitoring month (Year)].[All]" allUniqueName="[Cirrus_Tracker].[Monitoring month (Year)].[All]" dimensionUniqueName="[Cirrus_Tracker]" displayFolder="" count="0" memberValueDatatype="130" unbalanced="0"/>
    <cacheHierarchy uniqueName="[Cirrus_Tracker].[Monitoring month (Quarter)]" caption="Monitoring month (Quarter)" attribute="1" defaultMemberUniqueName="[Cirrus_Tracker].[Monitoring month (Quarter)].[All]" allUniqueName="[Cirrus_Tracker].[Monitoring month (Quarter)].[All]" dimensionUniqueName="[Cirrus_Tracker]" displayFolder="" count="0" memberValueDatatype="130" unbalanced="0"/>
    <cacheHierarchy uniqueName="[Cirrus_Tracker].[ATX remark on next steps]" caption="ATX remark on next steps" attribute="1" defaultMemberUniqueName="[Cirrus_Tracker].[ATX remark on next steps].[All]" allUniqueName="[Cirrus_Tracker].[ATX remark on next steps].[All]" dimensionUniqueName="[Cirrus_Tracker]" displayFolder="" count="0" memberValueDatatype="130" unbalanced="0"/>
    <cacheHierarchy uniqueName="[Cirrus_Tracker].[Monitoring month (Month Index)]" caption="Monitoring month (Month Index)" attribute="1" defaultMemberUniqueName="[Cirrus_Tracker].[Monitoring month (Month Index)].[All]" allUniqueName="[Cirrus_Tracker].[Monitoring month (Month Index)].[All]" dimensionUniqueName="[Cirrus_Tracker]" displayFolder="" count="0" memberValueDatatype="20" unbalanced="0" hidden="1"/>
    <cacheHierarchy uniqueName="[Measures].[__XL_Count Cirrus_Tracker]" caption="__XL_Count Cirrus_Tracker" measure="1" displayFolder="" measureGroup="Cirrus_Tracker" count="0" hidden="1"/>
    <cacheHierarchy uniqueName="[Measures].[__No measures defined]" caption="__No measures defined" measure="1" displayFolder="" count="0" hidden="1"/>
    <cacheHierarchy uniqueName="[Measures].[Count of Listing ID]" caption="Count of Listing ID" measure="1" displayFolder="" measureGroup="Cirrus_Tracker" count="0" oneField="1" hidden="1">
      <fieldsUsage count="1">
        <fieldUsage x="0"/>
      </fieldsUsage>
      <extLst>
        <ext xmlns:x15="http://schemas.microsoft.com/office/spreadsheetml/2010/11/main" uri="{B97F6D7D-B522-45F9-BDA1-12C45D357490}">
          <x15:cacheHierarchy aggregatedColumn="0"/>
        </ext>
      </extLst>
    </cacheHierarchy>
    <cacheHierarchy uniqueName="[Measures].[Count of Seller]" caption="Count of Seller" measure="1" displayFolder="" measureGroup="Cirrus_Tracker" count="0" hidden="1">
      <extLst>
        <ext xmlns:x15="http://schemas.microsoft.com/office/spreadsheetml/2010/11/main" uri="{B97F6D7D-B522-45F9-BDA1-12C45D357490}">
          <x15:cacheHierarchy aggregatedColumn="9"/>
        </ext>
      </extLst>
    </cacheHierarchy>
    <cacheHierarchy uniqueName="[Measures].[Distinct Count of Seller]" caption="Distinct Count of Seller" measure="1" displayFolder="" measureGroup="Cirrus_Tracker" count="0" hidden="1">
      <extLst>
        <ext xmlns:x15="http://schemas.microsoft.com/office/spreadsheetml/2010/11/main" uri="{B97F6D7D-B522-45F9-BDA1-12C45D357490}">
          <x15:cacheHierarchy aggregatedColumn="9"/>
        </ext>
      </extLst>
    </cacheHierarchy>
    <cacheHierarchy uniqueName="[Measures].[Count of Listing URL]" caption="Count of Listing URL" measure="1" displayFolder="" measureGroup="Cirrus_Tracker" count="0" hidden="1">
      <extLst>
        <ext xmlns:x15="http://schemas.microsoft.com/office/spreadsheetml/2010/11/main" uri="{B97F6D7D-B522-45F9-BDA1-12C45D357490}">
          <x15:cacheHierarchy aggregatedColumn="16"/>
        </ext>
      </extLst>
    </cacheHierarchy>
    <cacheHierarchy uniqueName="[Measures].[Distinct Count of Listing URL]" caption="Distinct Count of Listing URL" measure="1" displayFolder="" measureGroup="Cirrus_Tracker" count="0" hidden="1">
      <extLst>
        <ext xmlns:x15="http://schemas.microsoft.com/office/spreadsheetml/2010/11/main" uri="{B97F6D7D-B522-45F9-BDA1-12C45D357490}">
          <x15:cacheHierarchy aggregatedColumn="16"/>
        </ext>
      </extLst>
    </cacheHierarchy>
  </cacheHierarchies>
  <kpis count="0"/>
  <dimensions count="2">
    <dimension name="Cirrus_Tracker" uniqueName="[Cirrus_Tracker]" caption="Cirrus_Tracker"/>
    <dimension measure="1" name="Measures" uniqueName="[Measures]" caption="Measures"/>
  </dimensions>
  <measureGroups count="1">
    <measureGroup name="Cirrus_Tracker" caption="Cirrus_Tracker"/>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ogesh Rajput" refreshedDate="46222.535029166669" backgroundQuery="1" createdVersion="8" refreshedVersion="8" minRefreshableVersion="3" recordCount="0" supportSubquery="1" supportAdvancedDrill="1" xr:uid="{4E2B9CD0-F0AC-4119-9CD4-411DEC4D73FD}">
  <cacheSource type="external" connectionId="1"/>
  <cacheFields count="7">
    <cacheField name="[Cirrus_Tracker].[Infringement Type].[Infringement Type]" caption="Infringement Type" numFmtId="0" hierarchy="26" level="1">
      <sharedItems count="3">
        <s v="Counterfeit"/>
        <s v="Unauthorised use of Trademark"/>
        <s v="Unauthorized use of Copyright image"/>
      </sharedItems>
    </cacheField>
    <cacheField name="[Measures].[Count of Listing ID]" caption="Count of Listing ID" numFmtId="0" hierarchy="48" level="32767"/>
    <cacheField name="[Cirrus_Tracker].[Platform].[Platform]" caption="Platform" numFmtId="0" hierarchy="6" level="1">
      <sharedItems count="20">
        <s v="1688.com"/>
        <s v="3achips.com"/>
        <s v="Alibaba.com"/>
        <s v="Allelcoelec.com"/>
        <s v="Andesource.com"/>
        <s v="Bostk.com"/>
        <s v="Cgocmall.com"/>
        <s v="Elcodis.com"/>
        <s v="Gys.cn"/>
        <s v="Hitech-semi.com"/>
        <s v="Icdirectory.com"/>
        <s v="Jotrin.com"/>
        <s v="Made-in-china.com"/>
        <s v="Nikenele.com"/>
        <s v="Omida.net"/>
        <s v="Origin-ic.com"/>
        <s v="Seektronics.com"/>
        <s v="Worldwayic.com"/>
        <s v="Xida-electronics.com"/>
        <s v="Zkxgic.com"/>
      </sharedItems>
    </cacheField>
    <cacheField name="[Cirrus_Tracker].[Complaint Status].[Complaint Status]" caption="Complaint Status" numFmtId="0" hierarchy="34" level="1">
      <sharedItems containsSemiMixedTypes="0" containsNonDate="0" containsString="0"/>
    </cacheField>
    <cacheField name="[Cirrus_Tracker].[Takedown Status].[Takedown Status]" caption="Takedown Status" numFmtId="0" hierarchy="38" level="1">
      <sharedItems containsBlank="1" count="3">
        <m/>
        <s v="Active"/>
        <s v="Removed"/>
      </sharedItems>
    </cacheField>
    <cacheField name="[Cirrus_Tracker].[Monitoring month].[Monitoring month]" caption="Monitoring month" numFmtId="0" hierarchy="1" level="1">
      <sharedItems containsSemiMixedTypes="0" containsNonDate="0" containsString="0"/>
    </cacheField>
    <cacheField name="[Cirrus_Tracker].[Monitoring month (Month)].[Monitoring month (Month)]" caption="Monitoring month (Month)" numFmtId="0" hierarchy="41" level="1">
      <sharedItems containsSemiMixedTypes="0" containsNonDate="0" containsString="0"/>
    </cacheField>
  </cacheFields>
  <cacheHierarchies count="53">
    <cacheHierarchy uniqueName="[Cirrus_Tracker].[Listing ID]" caption="Listing ID" attribute="1" defaultMemberUniqueName="[Cirrus_Tracker].[Listing ID].[All]" allUniqueName="[Cirrus_Tracker].[Listing ID].[All]" dimensionUniqueName="[Cirrus_Tracker]" displayFolder="" count="0" memberValueDatatype="130" unbalanced="0"/>
    <cacheHierarchy uniqueName="[Cirrus_Tracker].[Monitoring month]" caption="Monitoring month" attribute="1" time="1" defaultMemberUniqueName="[Cirrus_Tracker].[Monitoring month].[All]" allUniqueName="[Cirrus_Tracker].[Monitoring month].[All]" dimensionUniqueName="[Cirrus_Tracker]" displayFolder="" count="2" memberValueDatatype="7" unbalanced="0">
      <fieldsUsage count="2">
        <fieldUsage x="-1"/>
        <fieldUsage x="5"/>
      </fieldsUsage>
    </cacheHierarchy>
    <cacheHierarchy uniqueName="[Cirrus_Tracker].[Year]" caption="Year" attribute="1" defaultMemberUniqueName="[Cirrus_Tracker].[Year].[All]" allUniqueName="[Cirrus_Tracker].[Year].[All]" dimensionUniqueName="[Cirrus_Tracker]" displayFolder="" count="2" memberValueDatatype="20" unbalanced="0"/>
    <cacheHierarchy uniqueName="[Cirrus_Tracker].[Platform country]" caption="Platform country" attribute="1" defaultMemberUniqueName="[Cirrus_Tracker].[Platform country].[All]" allUniqueName="[Cirrus_Tracker].[Platform country].[All]" dimensionUniqueName="[Cirrus_Tracker]" displayFolder="" count="0" memberValueDatatype="130" unbalanced="0"/>
    <cacheHierarchy uniqueName="[Cirrus_Tracker].[POS Type]" caption="POS Type" attribute="1" defaultMemberUniqueName="[Cirrus_Tracker].[POS Type].[All]" allUniqueName="[Cirrus_Tracker].[POS Type].[All]" dimensionUniqueName="[Cirrus_Tracker]" displayFolder="" count="2" memberValueDatatype="130" unbalanced="0"/>
    <cacheHierarchy uniqueName="[Cirrus_Tracker].[Platform group]" caption="Platform group" attribute="1" defaultMemberUniqueName="[Cirrus_Tracker].[Platform group].[All]" allUniqueName="[Cirrus_Tracker].[Platform group].[All]" dimensionUniqueName="[Cirrus_Tracker]" displayFolder="" count="0" memberValueDatatype="130" unbalanced="0"/>
    <cacheHierarchy uniqueName="[Cirrus_Tracker].[Platform]" caption="Platform" attribute="1" defaultMemberUniqueName="[Cirrus_Tracker].[Platform].[All]" allUniqueName="[Cirrus_Tracker].[Platform].[All]" dimensionUniqueName="[Cirrus_Tracker]" displayFolder="" count="2" memberValueDatatype="130" unbalanced="0">
      <fieldsUsage count="2">
        <fieldUsage x="-1"/>
        <fieldUsage x="2"/>
      </fieldsUsage>
    </cacheHierarchy>
    <cacheHierarchy uniqueName="[Cirrus_Tracker].[Seller Flagged]" caption="Seller Flagged" attribute="1" defaultMemberUniqueName="[Cirrus_Tracker].[Seller Flagged].[All]" allUniqueName="[Cirrus_Tracker].[Seller Flagged].[All]" dimensionUniqueName="[Cirrus_Tracker]" displayFolder="" count="0" memberValueDatatype="130" unbalanced="0"/>
    <cacheHierarchy uniqueName="[Cirrus_Tracker].[Repeat Infringer]" caption="Repeat Infringer" attribute="1" defaultMemberUniqueName="[Cirrus_Tracker].[Repeat Infringer].[All]" allUniqueName="[Cirrus_Tracker].[Repeat Infringer].[All]" dimensionUniqueName="[Cirrus_Tracker]" displayFolder="" count="0" memberValueDatatype="130" unbalanced="0"/>
    <cacheHierarchy uniqueName="[Cirrus_Tracker].[Seller]" caption="Seller" attribute="1" defaultMemberUniqueName="[Cirrus_Tracker].[Seller].[All]" allUniqueName="[Cirrus_Tracker].[Seller].[All]" dimensionUniqueName="[Cirrus_Tracker]" displayFolder="" count="0" memberValueDatatype="130" unbalanced="0"/>
    <cacheHierarchy uniqueName="[Cirrus_Tracker].[Store URL]" caption="Store URL" attribute="1" defaultMemberUniqueName="[Cirrus_Tracker].[Store URL].[All]" allUniqueName="[Cirrus_Tracker].[Store URL].[All]" dimensionUniqueName="[Cirrus_Tracker]" displayFolder="" count="0" memberValueDatatype="130" unbalanced="0"/>
    <cacheHierarchy uniqueName="[Cirrus_Tracker].[Seller Business Type]" caption="Seller Business Type" attribute="1" defaultMemberUniqueName="[Cirrus_Tracker].[Seller Business Type].[All]" allUniqueName="[Cirrus_Tracker].[Seller Business Type].[All]" dimensionUniqueName="[Cirrus_Tracker]" displayFolder="" count="0" memberValueDatatype="130" unbalanced="0"/>
    <cacheHierarchy uniqueName="[Cirrus_Tracker].[Seller address]" caption="Seller address" attribute="1" defaultMemberUniqueName="[Cirrus_Tracker].[Seller address].[All]" allUniqueName="[Cirrus_Tracker].[Seller address].[All]" dimensionUniqueName="[Cirrus_Tracker]" displayFolder="" count="0" memberValueDatatype="130" unbalanced="0"/>
    <cacheHierarchy uniqueName="[Cirrus_Tracker].[Seller contact info]" caption="Seller contact info" attribute="1" defaultMemberUniqueName="[Cirrus_Tracker].[Seller contact info].[All]" allUniqueName="[Cirrus_Tracker].[Seller contact info].[All]" dimensionUniqueName="[Cirrus_Tracker]" displayFolder="" count="0" memberValueDatatype="130" unbalanced="0"/>
    <cacheHierarchy uniqueName="[Cirrus_Tracker].[Product Code]" caption="Product Code" attribute="1" defaultMemberUniqueName="[Cirrus_Tracker].[Product Code].[All]" allUniqueName="[Cirrus_Tracker].[Product Code].[All]" dimensionUniqueName="[Cirrus_Tracker]" displayFolder="" count="0" memberValueDatatype="130" unbalanced="0"/>
    <cacheHierarchy uniqueName="[Cirrus_Tracker].[Packmarks]" caption="Packmarks" attribute="1" defaultMemberUniqueName="[Cirrus_Tracker].[Packmarks].[All]" allUniqueName="[Cirrus_Tracker].[Packmarks].[All]" dimensionUniqueName="[Cirrus_Tracker]" displayFolder="" count="0" memberValueDatatype="130" unbalanced="0"/>
    <cacheHierarchy uniqueName="[Cirrus_Tracker].[Listing URL]" caption="Listing URL" attribute="1" defaultMemberUniqueName="[Cirrus_Tracker].[Listing URL].[All]" allUniqueName="[Cirrus_Tracker].[Listing URL].[All]" dimensionUniqueName="[Cirrus_Tracker]" displayFolder="" count="0" memberValueDatatype="130" unbalanced="0"/>
    <cacheHierarchy uniqueName="[Cirrus_Tracker].[Item No.]" caption="Item No." attribute="1" defaultMemberUniqueName="[Cirrus_Tracker].[Item No.].[All]" allUniqueName="[Cirrus_Tracker].[Item No.].[All]" dimensionUniqueName="[Cirrus_Tracker]" displayFolder="" count="0" memberValueDatatype="130" unbalanced="0"/>
    <cacheHierarchy uniqueName="[Cirrus_Tracker].[Product title]" caption="Product title" attribute="1" defaultMemberUniqueName="[Cirrus_Tracker].[Product title].[All]" allUniqueName="[Cirrus_Tracker].[Product title].[All]" dimensionUniqueName="[Cirrus_Tracker]" displayFolder="" count="0" memberValueDatatype="130" unbalanced="0"/>
    <cacheHierarchy uniqueName="[Cirrus_Tracker].[Advertised Price]" caption="Advertised Price" attribute="1" defaultMemberUniqueName="[Cirrus_Tracker].[Advertised Price].[All]" allUniqueName="[Cirrus_Tracker].[Advertised Price].[All]" dimensionUniqueName="[Cirrus_Tracker]" displayFolder="" count="0" memberValueDatatype="130" unbalanced="0"/>
    <cacheHierarchy uniqueName="[Cirrus_Tracker].[Currency]" caption="Currency" attribute="1" defaultMemberUniqueName="[Cirrus_Tracker].[Currency].[All]" allUniqueName="[Cirrus_Tracker].[Currency].[All]" dimensionUniqueName="[Cirrus_Tracker]" displayFolder="" count="0" memberValueDatatype="130" unbalanced="0"/>
    <cacheHierarchy uniqueName="[Cirrus_Tracker].[Advertised Price  (USD)]" caption="Advertised Price  (USD)" attribute="1" defaultMemberUniqueName="[Cirrus_Tracker].[Advertised Price  (USD)].[All]" allUniqueName="[Cirrus_Tracker].[Advertised Price  (USD)].[All]" dimensionUniqueName="[Cirrus_Tracker]" displayFolder="" count="0" memberValueDatatype="130" unbalanced="0"/>
    <cacheHierarchy uniqueName="[Cirrus_Tracker].[Official Price (USD)]" caption="Official Price (USD)" attribute="1" defaultMemberUniqueName="[Cirrus_Tracker].[Official Price (USD)].[All]" allUniqueName="[Cirrus_Tracker].[Official Price (USD)].[All]" dimensionUniqueName="[Cirrus_Tracker]" displayFolder="" count="0" memberValueDatatype="130" unbalanced="0"/>
    <cacheHierarchy uniqueName="[Cirrus_Tracker].[Discount %]" caption="Discount %" attribute="1" defaultMemberUniqueName="[Cirrus_Tracker].[Discount %].[All]" allUniqueName="[Cirrus_Tracker].[Discount %].[All]" dimensionUniqueName="[Cirrus_Tracker]" displayFolder="" count="0" memberValueDatatype="5" unbalanced="0"/>
    <cacheHierarchy uniqueName="[Cirrus_Tracker].[Stock (Units)]" caption="Stock (Units)" attribute="1" defaultMemberUniqueName="[Cirrus_Tracker].[Stock (Units)].[All]" allUniqueName="[Cirrus_Tracker].[Stock (Units)].[All]" dimensionUniqueName="[Cirrus_Tracker]" displayFolder="" count="0" memberValueDatatype="130" unbalanced="0"/>
    <cacheHierarchy uniqueName="[Cirrus_Tracker].[ATX Review Result]" caption="ATX Review Result" attribute="1" defaultMemberUniqueName="[Cirrus_Tracker].[ATX Review Result].[All]" allUniqueName="[Cirrus_Tracker].[ATX Review Result].[All]" dimensionUniqueName="[Cirrus_Tracker]" displayFolder="" count="0" memberValueDatatype="130" unbalanced="0"/>
    <cacheHierarchy uniqueName="[Cirrus_Tracker].[Infringement Type]" caption="Infringement Type" attribute="1" defaultMemberUniqueName="[Cirrus_Tracker].[Infringement Type].[All]" allUniqueName="[Cirrus_Tracker].[Infringement Type].[All]" dimensionUniqueName="[Cirrus_Tracker]" displayFolder="" count="2" memberValueDatatype="130" unbalanced="0">
      <fieldsUsage count="2">
        <fieldUsage x="-1"/>
        <fieldUsage x="0"/>
      </fieldsUsage>
    </cacheHierarchy>
    <cacheHierarchy uniqueName="[Cirrus_Tracker].[Risk indicator/Remarks]" caption="Risk indicator/Remarks" attribute="1" defaultMemberUniqueName="[Cirrus_Tracker].[Risk indicator/Remarks].[All]" allUniqueName="[Cirrus_Tracker].[Risk indicator/Remarks].[All]" dimensionUniqueName="[Cirrus_Tracker]" displayFolder="" count="0" memberValueDatatype="130" unbalanced="0"/>
    <cacheHierarchy uniqueName="[Cirrus_Tracker].[Complaint Draft/Evidence (PPT Slide Reference)]" caption="Complaint Draft/Evidence (PPT Slide Reference)" attribute="1" defaultMemberUniqueName="[Cirrus_Tracker].[Complaint Draft/Evidence (PPT Slide Reference)].[All]" allUniqueName="[Cirrus_Tracker].[Complaint Draft/Evidence (PPT Slide Reference)].[All]" dimensionUniqueName="[Cirrus_Tracker]" displayFolder="" count="0" memberValueDatatype="130" unbalanced="0"/>
    <cacheHierarchy uniqueName="[Cirrus_Tracker].[Feedback from ABC Company team]" caption="Feedback from ABC Company team" attribute="1" defaultMemberUniqueName="[Cirrus_Tracker].[Feedback from ABC Company team].[All]" allUniqueName="[Cirrus_Tracker].[Feedback from ABC Company team].[All]" dimensionUniqueName="[Cirrus_Tracker]" displayFolder="" count="0" memberValueDatatype="130" unbalanced="0"/>
    <cacheHierarchy uniqueName="[Cirrus_Tracker].[Test buy conducted (Yes/No)]" caption="Test buy conducted (Yes/No)" attribute="1" defaultMemberUniqueName="[Cirrus_Tracker].[Test buy conducted (Yes/No)].[All]" allUniqueName="[Cirrus_Tracker].[Test buy conducted (Yes/No)].[All]" dimensionUniqueName="[Cirrus_Tracker]" displayFolder="" count="0" memberValueDatatype="130" unbalanced="0"/>
    <cacheHierarchy uniqueName="[Cirrus_Tracker].[Test buy date]" caption="Test buy date" attribute="1" time="1" defaultMemberUniqueName="[Cirrus_Tracker].[Test buy date].[All]" allUniqueName="[Cirrus_Tracker].[Test buy date].[All]" dimensionUniqueName="[Cirrus_Tracker]" displayFolder="" count="0" memberValueDatatype="7" unbalanced="0"/>
    <cacheHierarchy uniqueName="[Cirrus_Tracker].[Test Buy Status]" caption="Test Buy Status" attribute="1" defaultMemberUniqueName="[Cirrus_Tracker].[Test Buy Status].[All]" allUniqueName="[Cirrus_Tracker].[Test Buy Status].[All]" dimensionUniqueName="[Cirrus_Tracker]" displayFolder="" count="0" memberValueDatatype="130" unbalanced="0"/>
    <cacheHierarchy uniqueName="[Cirrus_Tracker].[Test buy result]" caption="Test buy result" attribute="1" defaultMemberUniqueName="[Cirrus_Tracker].[Test buy result].[All]" allUniqueName="[Cirrus_Tracker].[Test buy result].[All]" dimensionUniqueName="[Cirrus_Tracker]" displayFolder="" count="0" memberValueDatatype="130" unbalanced="0"/>
    <cacheHierarchy uniqueName="[Cirrus_Tracker].[Complaint Status]" caption="Complaint Status" attribute="1" defaultMemberUniqueName="[Cirrus_Tracker].[Complaint Status].[All]" allUniqueName="[Cirrus_Tracker].[Complaint Status].[All]" dimensionUniqueName="[Cirrus_Tracker]" displayFolder="" count="2" memberValueDatatype="130" unbalanced="0">
      <fieldsUsage count="2">
        <fieldUsage x="-1"/>
        <fieldUsage x="3"/>
      </fieldsUsage>
    </cacheHierarchy>
    <cacheHierarchy uniqueName="[Cirrus_Tracker].[Not Filed Reason]" caption="Not Filed Reason" attribute="1" defaultMemberUniqueName="[Cirrus_Tracker].[Not Filed Reason].[All]" allUniqueName="[Cirrus_Tracker].[Not Filed Reason].[All]" dimensionUniqueName="[Cirrus_Tracker]" displayFolder="" count="0" memberValueDatatype="130" unbalanced="0"/>
    <cacheHierarchy uniqueName="[Cirrus_Tracker].[Complaint Date]" caption="Complaint Date" attribute="1" time="1" defaultMemberUniqueName="[Cirrus_Tracker].[Complaint Date].[All]" allUniqueName="[Cirrus_Tracker].[Complaint Date].[All]" dimensionUniqueName="[Cirrus_Tracker]" displayFolder="" count="0" memberValueDatatype="7" unbalanced="0"/>
    <cacheHierarchy uniqueName="[Cirrus_Tracker].[Complaint ID]" caption="Complaint ID" attribute="1" defaultMemberUniqueName="[Cirrus_Tracker].[Complaint ID].[All]" allUniqueName="[Cirrus_Tracker].[Complaint ID].[All]" dimensionUniqueName="[Cirrus_Tracker]" displayFolder="" count="0" memberValueDatatype="130" unbalanced="0"/>
    <cacheHierarchy uniqueName="[Cirrus_Tracker].[Takedown Status]" caption="Takedown Status" attribute="1" defaultMemberUniqueName="[Cirrus_Tracker].[Takedown Status].[All]" allUniqueName="[Cirrus_Tracker].[Takedown Status].[All]" dimensionUniqueName="[Cirrus_Tracker]" displayFolder="" count="2" memberValueDatatype="130" unbalanced="0">
      <fieldsUsage count="2">
        <fieldUsage x="-1"/>
        <fieldUsage x="4"/>
      </fieldsUsage>
    </cacheHierarchy>
    <cacheHierarchy uniqueName="[Cirrus_Tracker].[Takedown Date]" caption="Takedown Date" attribute="1" time="1" defaultMemberUniqueName="[Cirrus_Tracker].[Takedown Date].[All]" allUniqueName="[Cirrus_Tracker].[Takedown Date].[All]" dimensionUniqueName="[Cirrus_Tracker]" displayFolder="" count="0" memberValueDatatype="7" unbalanced="0"/>
    <cacheHierarchy uniqueName="[Cirrus_Tracker].[Next steps]" caption="Next steps" attribute="1" defaultMemberUniqueName="[Cirrus_Tracker].[Next steps].[All]" allUniqueName="[Cirrus_Tracker].[Next steps].[All]" dimensionUniqueName="[Cirrus_Tracker]" displayFolder="" count="0" memberValueDatatype="130" unbalanced="0"/>
    <cacheHierarchy uniqueName="[Cirrus_Tracker].[Monitoring month (Month)]" caption="Monitoring month (Month)" attribute="1" defaultMemberUniqueName="[Cirrus_Tracker].[Monitoring month (Month)].[All]" allUniqueName="[Cirrus_Tracker].[Monitoring month (Month)].[All]" dimensionUniqueName="[Cirrus_Tracker]" displayFolder="" count="2" memberValueDatatype="130" unbalanced="0">
      <fieldsUsage count="2">
        <fieldUsage x="-1"/>
        <fieldUsage x="6"/>
      </fieldsUsage>
    </cacheHierarchy>
    <cacheHierarchy uniqueName="[Cirrus_Tracker].[Monitoring month (Year)]" caption="Monitoring month (Year)" attribute="1" defaultMemberUniqueName="[Cirrus_Tracker].[Monitoring month (Year)].[All]" allUniqueName="[Cirrus_Tracker].[Monitoring month (Year)].[All]" dimensionUniqueName="[Cirrus_Tracker]" displayFolder="" count="0" memberValueDatatype="130" unbalanced="0"/>
    <cacheHierarchy uniqueName="[Cirrus_Tracker].[Monitoring month (Quarter)]" caption="Monitoring month (Quarter)" attribute="1" defaultMemberUniqueName="[Cirrus_Tracker].[Monitoring month (Quarter)].[All]" allUniqueName="[Cirrus_Tracker].[Monitoring month (Quarter)].[All]" dimensionUniqueName="[Cirrus_Tracker]" displayFolder="" count="0" memberValueDatatype="130" unbalanced="0"/>
    <cacheHierarchy uniqueName="[Cirrus_Tracker].[ATX remark on next steps]" caption="ATX remark on next steps" attribute="1" defaultMemberUniqueName="[Cirrus_Tracker].[ATX remark on next steps].[All]" allUniqueName="[Cirrus_Tracker].[ATX remark on next steps].[All]" dimensionUniqueName="[Cirrus_Tracker]" displayFolder="" count="0" memberValueDatatype="130" unbalanced="0"/>
    <cacheHierarchy uniqueName="[Cirrus_Tracker].[Monitoring month (Month Index)]" caption="Monitoring month (Month Index)" attribute="1" defaultMemberUniqueName="[Cirrus_Tracker].[Monitoring month (Month Index)].[All]" allUniqueName="[Cirrus_Tracker].[Monitoring month (Month Index)].[All]" dimensionUniqueName="[Cirrus_Tracker]" displayFolder="" count="0" memberValueDatatype="20" unbalanced="0" hidden="1"/>
    <cacheHierarchy uniqueName="[Measures].[__XL_Count Cirrus_Tracker]" caption="__XL_Count Cirrus_Tracker" measure="1" displayFolder="" measureGroup="Cirrus_Tracker" count="0" hidden="1"/>
    <cacheHierarchy uniqueName="[Measures].[__No measures defined]" caption="__No measures defined" measure="1" displayFolder="" count="0" hidden="1"/>
    <cacheHierarchy uniqueName="[Measures].[Count of Listing ID]" caption="Count of Listing ID" measure="1" displayFolder="" measureGroup="Cirrus_Tracker" count="0" oneField="1" hidden="1">
      <fieldsUsage count="1">
        <fieldUsage x="1"/>
      </fieldsUsage>
      <extLst>
        <ext xmlns:x15="http://schemas.microsoft.com/office/spreadsheetml/2010/11/main" uri="{B97F6D7D-B522-45F9-BDA1-12C45D357490}">
          <x15:cacheHierarchy aggregatedColumn="0"/>
        </ext>
      </extLst>
    </cacheHierarchy>
    <cacheHierarchy uniqueName="[Measures].[Count of Seller]" caption="Count of Seller" measure="1" displayFolder="" measureGroup="Cirrus_Tracker" count="0" hidden="1">
      <extLst>
        <ext xmlns:x15="http://schemas.microsoft.com/office/spreadsheetml/2010/11/main" uri="{B97F6D7D-B522-45F9-BDA1-12C45D357490}">
          <x15:cacheHierarchy aggregatedColumn="9"/>
        </ext>
      </extLst>
    </cacheHierarchy>
    <cacheHierarchy uniqueName="[Measures].[Distinct Count of Seller]" caption="Distinct Count of Seller" measure="1" displayFolder="" measureGroup="Cirrus_Tracker" count="0" hidden="1">
      <extLst>
        <ext xmlns:x15="http://schemas.microsoft.com/office/spreadsheetml/2010/11/main" uri="{B97F6D7D-B522-45F9-BDA1-12C45D357490}">
          <x15:cacheHierarchy aggregatedColumn="9"/>
        </ext>
      </extLst>
    </cacheHierarchy>
    <cacheHierarchy uniqueName="[Measures].[Count of Listing URL]" caption="Count of Listing URL" measure="1" displayFolder="" measureGroup="Cirrus_Tracker" count="0" hidden="1">
      <extLst>
        <ext xmlns:x15="http://schemas.microsoft.com/office/spreadsheetml/2010/11/main" uri="{B97F6D7D-B522-45F9-BDA1-12C45D357490}">
          <x15:cacheHierarchy aggregatedColumn="16"/>
        </ext>
      </extLst>
    </cacheHierarchy>
    <cacheHierarchy uniqueName="[Measures].[Distinct Count of Listing URL]" caption="Distinct Count of Listing URL" measure="1" displayFolder="" measureGroup="Cirrus_Tracker" count="0" hidden="1">
      <extLst>
        <ext xmlns:x15="http://schemas.microsoft.com/office/spreadsheetml/2010/11/main" uri="{B97F6D7D-B522-45F9-BDA1-12C45D357490}">
          <x15:cacheHierarchy aggregatedColumn="16"/>
        </ext>
      </extLst>
    </cacheHierarchy>
  </cacheHierarchies>
  <kpis count="0"/>
  <dimensions count="2">
    <dimension name="Cirrus_Tracker" uniqueName="[Cirrus_Tracker]" caption="Cirrus_Tracker"/>
    <dimension measure="1" name="Measures" uniqueName="[Measures]" caption="Measures"/>
  </dimensions>
  <measureGroups count="1">
    <measureGroup name="Cirrus_Tracker" caption="Cirrus_Tracker"/>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ogesh Rajput" refreshedDate="46222.535029513892" backgroundQuery="1" createdVersion="8" refreshedVersion="8" minRefreshableVersion="3" recordCount="0" supportSubquery="1" supportAdvancedDrill="1" xr:uid="{B1BACC5A-3D3B-42F0-9330-1E324B0B5EE6}">
  <cacheSource type="external" connectionId="1"/>
  <cacheFields count="6">
    <cacheField name="[Cirrus_Tracker].[Infringement Type].[Infringement Type]" caption="Infringement Type" numFmtId="0" hierarchy="26" level="1">
      <sharedItems count="3">
        <s v="Counterfeit"/>
        <s v="Unauthorised use of Trademark"/>
        <s v="Unauthorized use of Copyright image"/>
      </sharedItems>
    </cacheField>
    <cacheField name="[Measures].[Count of Listing ID]" caption="Count of Listing ID" numFmtId="0" hierarchy="48" level="32767"/>
    <cacheField name="[Cirrus_Tracker].[Platform].[Platform]" caption="Platform" numFmtId="0" hierarchy="6" level="1">
      <sharedItems count="3">
        <s v="3achips.com"/>
        <s v="E-linktrader.com"/>
        <s v="Worldwayic.com"/>
      </sharedItems>
    </cacheField>
    <cacheField name="[Cirrus_Tracker].[Monitoring month].[Monitoring month]" caption="Monitoring month" numFmtId="0" hierarchy="1" level="1">
      <sharedItems containsSemiMixedTypes="0" containsNonDate="0" containsString="0"/>
    </cacheField>
    <cacheField name="[Cirrus_Tracker].[POS Type].[POS Type]" caption="POS Type" numFmtId="0" hierarchy="4" level="1">
      <sharedItems count="2">
        <s v="Marketplace"/>
        <s v="Independent Website" u="1"/>
      </sharedItems>
    </cacheField>
    <cacheField name="[Cirrus_Tracker].[Monitoring month (Month)].[Monitoring month (Month)]" caption="Monitoring month (Month)" numFmtId="0" hierarchy="41" level="1">
      <sharedItems containsSemiMixedTypes="0" containsNonDate="0" containsString="0"/>
    </cacheField>
  </cacheFields>
  <cacheHierarchies count="53">
    <cacheHierarchy uniqueName="[Cirrus_Tracker].[Listing ID]" caption="Listing ID" attribute="1" defaultMemberUniqueName="[Cirrus_Tracker].[Listing ID].[All]" allUniqueName="[Cirrus_Tracker].[Listing ID].[All]" dimensionUniqueName="[Cirrus_Tracker]" displayFolder="" count="0" memberValueDatatype="130" unbalanced="0"/>
    <cacheHierarchy uniqueName="[Cirrus_Tracker].[Monitoring month]" caption="Monitoring month" attribute="1" time="1" defaultMemberUniqueName="[Cirrus_Tracker].[Monitoring month].[All]" allUniqueName="[Cirrus_Tracker].[Monitoring month].[All]" dimensionUniqueName="[Cirrus_Tracker]" displayFolder="" count="2" memberValueDatatype="7" unbalanced="0">
      <fieldsUsage count="2">
        <fieldUsage x="-1"/>
        <fieldUsage x="3"/>
      </fieldsUsage>
    </cacheHierarchy>
    <cacheHierarchy uniqueName="[Cirrus_Tracker].[Year]" caption="Year" attribute="1" defaultMemberUniqueName="[Cirrus_Tracker].[Year].[All]" allUniqueName="[Cirrus_Tracker].[Year].[All]" dimensionUniqueName="[Cirrus_Tracker]" displayFolder="" count="2" memberValueDatatype="20" unbalanced="0"/>
    <cacheHierarchy uniqueName="[Cirrus_Tracker].[Platform country]" caption="Platform country" attribute="1" defaultMemberUniqueName="[Cirrus_Tracker].[Platform country].[All]" allUniqueName="[Cirrus_Tracker].[Platform country].[All]" dimensionUniqueName="[Cirrus_Tracker]" displayFolder="" count="0" memberValueDatatype="130" unbalanced="0"/>
    <cacheHierarchy uniqueName="[Cirrus_Tracker].[POS Type]" caption="POS Type" attribute="1" defaultMemberUniqueName="[Cirrus_Tracker].[POS Type].[All]" allUniqueName="[Cirrus_Tracker].[POS Type].[All]" dimensionUniqueName="[Cirrus_Tracker]" displayFolder="" count="2" memberValueDatatype="130" unbalanced="0">
      <fieldsUsage count="2">
        <fieldUsage x="-1"/>
        <fieldUsage x="4"/>
      </fieldsUsage>
    </cacheHierarchy>
    <cacheHierarchy uniqueName="[Cirrus_Tracker].[Platform group]" caption="Platform group" attribute="1" defaultMemberUniqueName="[Cirrus_Tracker].[Platform group].[All]" allUniqueName="[Cirrus_Tracker].[Platform group].[All]" dimensionUniqueName="[Cirrus_Tracker]" displayFolder="" count="0" memberValueDatatype="130" unbalanced="0"/>
    <cacheHierarchy uniqueName="[Cirrus_Tracker].[Platform]" caption="Platform" attribute="1" defaultMemberUniqueName="[Cirrus_Tracker].[Platform].[All]" allUniqueName="[Cirrus_Tracker].[Platform].[All]" dimensionUniqueName="[Cirrus_Tracker]" displayFolder="" count="2" memberValueDatatype="130" unbalanced="0">
      <fieldsUsage count="2">
        <fieldUsage x="-1"/>
        <fieldUsage x="2"/>
      </fieldsUsage>
    </cacheHierarchy>
    <cacheHierarchy uniqueName="[Cirrus_Tracker].[Seller Flagged]" caption="Seller Flagged" attribute="1" defaultMemberUniqueName="[Cirrus_Tracker].[Seller Flagged].[All]" allUniqueName="[Cirrus_Tracker].[Seller Flagged].[All]" dimensionUniqueName="[Cirrus_Tracker]" displayFolder="" count="0" memberValueDatatype="130" unbalanced="0"/>
    <cacheHierarchy uniqueName="[Cirrus_Tracker].[Repeat Infringer]" caption="Repeat Infringer" attribute="1" defaultMemberUniqueName="[Cirrus_Tracker].[Repeat Infringer].[All]" allUniqueName="[Cirrus_Tracker].[Repeat Infringer].[All]" dimensionUniqueName="[Cirrus_Tracker]" displayFolder="" count="0" memberValueDatatype="130" unbalanced="0"/>
    <cacheHierarchy uniqueName="[Cirrus_Tracker].[Seller]" caption="Seller" attribute="1" defaultMemberUniqueName="[Cirrus_Tracker].[Seller].[All]" allUniqueName="[Cirrus_Tracker].[Seller].[All]" dimensionUniqueName="[Cirrus_Tracker]" displayFolder="" count="0" memberValueDatatype="130" unbalanced="0"/>
    <cacheHierarchy uniqueName="[Cirrus_Tracker].[Store URL]" caption="Store URL" attribute="1" defaultMemberUniqueName="[Cirrus_Tracker].[Store URL].[All]" allUniqueName="[Cirrus_Tracker].[Store URL].[All]" dimensionUniqueName="[Cirrus_Tracker]" displayFolder="" count="0" memberValueDatatype="130" unbalanced="0"/>
    <cacheHierarchy uniqueName="[Cirrus_Tracker].[Seller Business Type]" caption="Seller Business Type" attribute="1" defaultMemberUniqueName="[Cirrus_Tracker].[Seller Business Type].[All]" allUniqueName="[Cirrus_Tracker].[Seller Business Type].[All]" dimensionUniqueName="[Cirrus_Tracker]" displayFolder="" count="0" memberValueDatatype="130" unbalanced="0"/>
    <cacheHierarchy uniqueName="[Cirrus_Tracker].[Seller address]" caption="Seller address" attribute="1" defaultMemberUniqueName="[Cirrus_Tracker].[Seller address].[All]" allUniqueName="[Cirrus_Tracker].[Seller address].[All]" dimensionUniqueName="[Cirrus_Tracker]" displayFolder="" count="0" memberValueDatatype="130" unbalanced="0"/>
    <cacheHierarchy uniqueName="[Cirrus_Tracker].[Seller contact info]" caption="Seller contact info" attribute="1" defaultMemberUniqueName="[Cirrus_Tracker].[Seller contact info].[All]" allUniqueName="[Cirrus_Tracker].[Seller contact info].[All]" dimensionUniqueName="[Cirrus_Tracker]" displayFolder="" count="0" memberValueDatatype="130" unbalanced="0"/>
    <cacheHierarchy uniqueName="[Cirrus_Tracker].[Product Code]" caption="Product Code" attribute="1" defaultMemberUniqueName="[Cirrus_Tracker].[Product Code].[All]" allUniqueName="[Cirrus_Tracker].[Product Code].[All]" dimensionUniqueName="[Cirrus_Tracker]" displayFolder="" count="0" memberValueDatatype="130" unbalanced="0"/>
    <cacheHierarchy uniqueName="[Cirrus_Tracker].[Packmarks]" caption="Packmarks" attribute="1" defaultMemberUniqueName="[Cirrus_Tracker].[Packmarks].[All]" allUniqueName="[Cirrus_Tracker].[Packmarks].[All]" dimensionUniqueName="[Cirrus_Tracker]" displayFolder="" count="0" memberValueDatatype="130" unbalanced="0"/>
    <cacheHierarchy uniqueName="[Cirrus_Tracker].[Listing URL]" caption="Listing URL" attribute="1" defaultMemberUniqueName="[Cirrus_Tracker].[Listing URL].[All]" allUniqueName="[Cirrus_Tracker].[Listing URL].[All]" dimensionUniqueName="[Cirrus_Tracker]" displayFolder="" count="0" memberValueDatatype="130" unbalanced="0"/>
    <cacheHierarchy uniqueName="[Cirrus_Tracker].[Item No.]" caption="Item No." attribute="1" defaultMemberUniqueName="[Cirrus_Tracker].[Item No.].[All]" allUniqueName="[Cirrus_Tracker].[Item No.].[All]" dimensionUniqueName="[Cirrus_Tracker]" displayFolder="" count="0" memberValueDatatype="130" unbalanced="0"/>
    <cacheHierarchy uniqueName="[Cirrus_Tracker].[Product title]" caption="Product title" attribute="1" defaultMemberUniqueName="[Cirrus_Tracker].[Product title].[All]" allUniqueName="[Cirrus_Tracker].[Product title].[All]" dimensionUniqueName="[Cirrus_Tracker]" displayFolder="" count="0" memberValueDatatype="130" unbalanced="0"/>
    <cacheHierarchy uniqueName="[Cirrus_Tracker].[Advertised Price]" caption="Advertised Price" attribute="1" defaultMemberUniqueName="[Cirrus_Tracker].[Advertised Price].[All]" allUniqueName="[Cirrus_Tracker].[Advertised Price].[All]" dimensionUniqueName="[Cirrus_Tracker]" displayFolder="" count="0" memberValueDatatype="130" unbalanced="0"/>
    <cacheHierarchy uniqueName="[Cirrus_Tracker].[Currency]" caption="Currency" attribute="1" defaultMemberUniqueName="[Cirrus_Tracker].[Currency].[All]" allUniqueName="[Cirrus_Tracker].[Currency].[All]" dimensionUniqueName="[Cirrus_Tracker]" displayFolder="" count="0" memberValueDatatype="130" unbalanced="0"/>
    <cacheHierarchy uniqueName="[Cirrus_Tracker].[Advertised Price  (USD)]" caption="Advertised Price  (USD)" attribute="1" defaultMemberUniqueName="[Cirrus_Tracker].[Advertised Price  (USD)].[All]" allUniqueName="[Cirrus_Tracker].[Advertised Price  (USD)].[All]" dimensionUniqueName="[Cirrus_Tracker]" displayFolder="" count="0" memberValueDatatype="130" unbalanced="0"/>
    <cacheHierarchy uniqueName="[Cirrus_Tracker].[Official Price (USD)]" caption="Official Price (USD)" attribute="1" defaultMemberUniqueName="[Cirrus_Tracker].[Official Price (USD)].[All]" allUniqueName="[Cirrus_Tracker].[Official Price (USD)].[All]" dimensionUniqueName="[Cirrus_Tracker]" displayFolder="" count="0" memberValueDatatype="130" unbalanced="0"/>
    <cacheHierarchy uniqueName="[Cirrus_Tracker].[Discount %]" caption="Discount %" attribute="1" defaultMemberUniqueName="[Cirrus_Tracker].[Discount %].[All]" allUniqueName="[Cirrus_Tracker].[Discount %].[All]" dimensionUniqueName="[Cirrus_Tracker]" displayFolder="" count="0" memberValueDatatype="5" unbalanced="0"/>
    <cacheHierarchy uniqueName="[Cirrus_Tracker].[Stock (Units)]" caption="Stock (Units)" attribute="1" defaultMemberUniqueName="[Cirrus_Tracker].[Stock (Units)].[All]" allUniqueName="[Cirrus_Tracker].[Stock (Units)].[All]" dimensionUniqueName="[Cirrus_Tracker]" displayFolder="" count="0" memberValueDatatype="130" unbalanced="0"/>
    <cacheHierarchy uniqueName="[Cirrus_Tracker].[ATX Review Result]" caption="ATX Review Result" attribute="1" defaultMemberUniqueName="[Cirrus_Tracker].[ATX Review Result].[All]" allUniqueName="[Cirrus_Tracker].[ATX Review Result].[All]" dimensionUniqueName="[Cirrus_Tracker]" displayFolder="" count="0" memberValueDatatype="130" unbalanced="0"/>
    <cacheHierarchy uniqueName="[Cirrus_Tracker].[Infringement Type]" caption="Infringement Type" attribute="1" defaultMemberUniqueName="[Cirrus_Tracker].[Infringement Type].[All]" allUniqueName="[Cirrus_Tracker].[Infringement Type].[All]" dimensionUniqueName="[Cirrus_Tracker]" displayFolder="" count="2" memberValueDatatype="130" unbalanced="0">
      <fieldsUsage count="2">
        <fieldUsage x="-1"/>
        <fieldUsage x="0"/>
      </fieldsUsage>
    </cacheHierarchy>
    <cacheHierarchy uniqueName="[Cirrus_Tracker].[Risk indicator/Remarks]" caption="Risk indicator/Remarks" attribute="1" defaultMemberUniqueName="[Cirrus_Tracker].[Risk indicator/Remarks].[All]" allUniqueName="[Cirrus_Tracker].[Risk indicator/Remarks].[All]" dimensionUniqueName="[Cirrus_Tracker]" displayFolder="" count="0" memberValueDatatype="130" unbalanced="0"/>
    <cacheHierarchy uniqueName="[Cirrus_Tracker].[Complaint Draft/Evidence (PPT Slide Reference)]" caption="Complaint Draft/Evidence (PPT Slide Reference)" attribute="1" defaultMemberUniqueName="[Cirrus_Tracker].[Complaint Draft/Evidence (PPT Slide Reference)].[All]" allUniqueName="[Cirrus_Tracker].[Complaint Draft/Evidence (PPT Slide Reference)].[All]" dimensionUniqueName="[Cirrus_Tracker]" displayFolder="" count="0" memberValueDatatype="130" unbalanced="0"/>
    <cacheHierarchy uniqueName="[Cirrus_Tracker].[Feedback from ABC Company team]" caption="Feedback from ABC Company team" attribute="1" defaultMemberUniqueName="[Cirrus_Tracker].[Feedback from ABC Company team].[All]" allUniqueName="[Cirrus_Tracker].[Feedback from ABC Company team].[All]" dimensionUniqueName="[Cirrus_Tracker]" displayFolder="" count="0" memberValueDatatype="130" unbalanced="0"/>
    <cacheHierarchy uniqueName="[Cirrus_Tracker].[Test buy conducted (Yes/No)]" caption="Test buy conducted (Yes/No)" attribute="1" defaultMemberUniqueName="[Cirrus_Tracker].[Test buy conducted (Yes/No)].[All]" allUniqueName="[Cirrus_Tracker].[Test buy conducted (Yes/No)].[All]" dimensionUniqueName="[Cirrus_Tracker]" displayFolder="" count="0" memberValueDatatype="130" unbalanced="0"/>
    <cacheHierarchy uniqueName="[Cirrus_Tracker].[Test buy date]" caption="Test buy date" attribute="1" time="1" defaultMemberUniqueName="[Cirrus_Tracker].[Test buy date].[All]" allUniqueName="[Cirrus_Tracker].[Test buy date].[All]" dimensionUniqueName="[Cirrus_Tracker]" displayFolder="" count="0" memberValueDatatype="7" unbalanced="0"/>
    <cacheHierarchy uniqueName="[Cirrus_Tracker].[Test Buy Status]" caption="Test Buy Status" attribute="1" defaultMemberUniqueName="[Cirrus_Tracker].[Test Buy Status].[All]" allUniqueName="[Cirrus_Tracker].[Test Buy Status].[All]" dimensionUniqueName="[Cirrus_Tracker]" displayFolder="" count="0" memberValueDatatype="130" unbalanced="0"/>
    <cacheHierarchy uniqueName="[Cirrus_Tracker].[Test buy result]" caption="Test buy result" attribute="1" defaultMemberUniqueName="[Cirrus_Tracker].[Test buy result].[All]" allUniqueName="[Cirrus_Tracker].[Test buy result].[All]" dimensionUniqueName="[Cirrus_Tracker]" displayFolder="" count="0" memberValueDatatype="130" unbalanced="0"/>
    <cacheHierarchy uniqueName="[Cirrus_Tracker].[Complaint Status]" caption="Complaint Status" attribute="1" defaultMemberUniqueName="[Cirrus_Tracker].[Complaint Status].[All]" allUniqueName="[Cirrus_Tracker].[Complaint Status].[All]" dimensionUniqueName="[Cirrus_Tracker]" displayFolder="" count="2" memberValueDatatype="130" unbalanced="0"/>
    <cacheHierarchy uniqueName="[Cirrus_Tracker].[Not Filed Reason]" caption="Not Filed Reason" attribute="1" defaultMemberUniqueName="[Cirrus_Tracker].[Not Filed Reason].[All]" allUniqueName="[Cirrus_Tracker].[Not Filed Reason].[All]" dimensionUniqueName="[Cirrus_Tracker]" displayFolder="" count="0" memberValueDatatype="130" unbalanced="0"/>
    <cacheHierarchy uniqueName="[Cirrus_Tracker].[Complaint Date]" caption="Complaint Date" attribute="1" time="1" defaultMemberUniqueName="[Cirrus_Tracker].[Complaint Date].[All]" allUniqueName="[Cirrus_Tracker].[Complaint Date].[All]" dimensionUniqueName="[Cirrus_Tracker]" displayFolder="" count="0" memberValueDatatype="7" unbalanced="0"/>
    <cacheHierarchy uniqueName="[Cirrus_Tracker].[Complaint ID]" caption="Complaint ID" attribute="1" defaultMemberUniqueName="[Cirrus_Tracker].[Complaint ID].[All]" allUniqueName="[Cirrus_Tracker].[Complaint ID].[All]" dimensionUniqueName="[Cirrus_Tracker]" displayFolder="" count="0" memberValueDatatype="130" unbalanced="0"/>
    <cacheHierarchy uniqueName="[Cirrus_Tracker].[Takedown Status]" caption="Takedown Status" attribute="1" defaultMemberUniqueName="[Cirrus_Tracker].[Takedown Status].[All]" allUniqueName="[Cirrus_Tracker].[Takedown Status].[All]" dimensionUniqueName="[Cirrus_Tracker]" displayFolder="" count="0" memberValueDatatype="130" unbalanced="0"/>
    <cacheHierarchy uniqueName="[Cirrus_Tracker].[Takedown Date]" caption="Takedown Date" attribute="1" time="1" defaultMemberUniqueName="[Cirrus_Tracker].[Takedown Date].[All]" allUniqueName="[Cirrus_Tracker].[Takedown Date].[All]" dimensionUniqueName="[Cirrus_Tracker]" displayFolder="" count="0" memberValueDatatype="7" unbalanced="0"/>
    <cacheHierarchy uniqueName="[Cirrus_Tracker].[Next steps]" caption="Next steps" attribute="1" defaultMemberUniqueName="[Cirrus_Tracker].[Next steps].[All]" allUniqueName="[Cirrus_Tracker].[Next steps].[All]" dimensionUniqueName="[Cirrus_Tracker]" displayFolder="" count="0" memberValueDatatype="130" unbalanced="0"/>
    <cacheHierarchy uniqueName="[Cirrus_Tracker].[Monitoring month (Month)]" caption="Monitoring month (Month)" attribute="1" defaultMemberUniqueName="[Cirrus_Tracker].[Monitoring month (Month)].[All]" allUniqueName="[Cirrus_Tracker].[Monitoring month (Month)].[All]" dimensionUniqueName="[Cirrus_Tracker]" displayFolder="" count="2" memberValueDatatype="130" unbalanced="0">
      <fieldsUsage count="2">
        <fieldUsage x="-1"/>
        <fieldUsage x="5"/>
      </fieldsUsage>
    </cacheHierarchy>
    <cacheHierarchy uniqueName="[Cirrus_Tracker].[Monitoring month (Year)]" caption="Monitoring month (Year)" attribute="1" defaultMemberUniqueName="[Cirrus_Tracker].[Monitoring month (Year)].[All]" allUniqueName="[Cirrus_Tracker].[Monitoring month (Year)].[All]" dimensionUniqueName="[Cirrus_Tracker]" displayFolder="" count="0" memberValueDatatype="130" unbalanced="0"/>
    <cacheHierarchy uniqueName="[Cirrus_Tracker].[Monitoring month (Quarter)]" caption="Monitoring month (Quarter)" attribute="1" defaultMemberUniqueName="[Cirrus_Tracker].[Monitoring month (Quarter)].[All]" allUniqueName="[Cirrus_Tracker].[Monitoring month (Quarter)].[All]" dimensionUniqueName="[Cirrus_Tracker]" displayFolder="" count="0" memberValueDatatype="130" unbalanced="0"/>
    <cacheHierarchy uniqueName="[Cirrus_Tracker].[ATX remark on next steps]" caption="ATX remark on next steps" attribute="1" defaultMemberUniqueName="[Cirrus_Tracker].[ATX remark on next steps].[All]" allUniqueName="[Cirrus_Tracker].[ATX remark on next steps].[All]" dimensionUniqueName="[Cirrus_Tracker]" displayFolder="" count="0" memberValueDatatype="130" unbalanced="0"/>
    <cacheHierarchy uniqueName="[Cirrus_Tracker].[Monitoring month (Month Index)]" caption="Monitoring month (Month Index)" attribute="1" defaultMemberUniqueName="[Cirrus_Tracker].[Monitoring month (Month Index)].[All]" allUniqueName="[Cirrus_Tracker].[Monitoring month (Month Index)].[All]" dimensionUniqueName="[Cirrus_Tracker]" displayFolder="" count="0" memberValueDatatype="20" unbalanced="0" hidden="1"/>
    <cacheHierarchy uniqueName="[Measures].[__XL_Count Cirrus_Tracker]" caption="__XL_Count Cirrus_Tracker" measure="1" displayFolder="" measureGroup="Cirrus_Tracker" count="0" hidden="1"/>
    <cacheHierarchy uniqueName="[Measures].[__No measures defined]" caption="__No measures defined" measure="1" displayFolder="" count="0" hidden="1"/>
    <cacheHierarchy uniqueName="[Measures].[Count of Listing ID]" caption="Count of Listing ID" measure="1" displayFolder="" measureGroup="Cirrus_Tracker" count="0" oneField="1" hidden="1">
      <fieldsUsage count="1">
        <fieldUsage x="1"/>
      </fieldsUsage>
      <extLst>
        <ext xmlns:x15="http://schemas.microsoft.com/office/spreadsheetml/2010/11/main" uri="{B97F6D7D-B522-45F9-BDA1-12C45D357490}">
          <x15:cacheHierarchy aggregatedColumn="0"/>
        </ext>
      </extLst>
    </cacheHierarchy>
    <cacheHierarchy uniqueName="[Measures].[Count of Seller]" caption="Count of Seller" measure="1" displayFolder="" measureGroup="Cirrus_Tracker" count="0" hidden="1">
      <extLst>
        <ext xmlns:x15="http://schemas.microsoft.com/office/spreadsheetml/2010/11/main" uri="{B97F6D7D-B522-45F9-BDA1-12C45D357490}">
          <x15:cacheHierarchy aggregatedColumn="9"/>
        </ext>
      </extLst>
    </cacheHierarchy>
    <cacheHierarchy uniqueName="[Measures].[Distinct Count of Seller]" caption="Distinct Count of Seller" measure="1" displayFolder="" measureGroup="Cirrus_Tracker" count="0" hidden="1">
      <extLst>
        <ext xmlns:x15="http://schemas.microsoft.com/office/spreadsheetml/2010/11/main" uri="{B97F6D7D-B522-45F9-BDA1-12C45D357490}">
          <x15:cacheHierarchy aggregatedColumn="9"/>
        </ext>
      </extLst>
    </cacheHierarchy>
    <cacheHierarchy uniqueName="[Measures].[Count of Listing URL]" caption="Count of Listing URL" measure="1" displayFolder="" measureGroup="Cirrus_Tracker" count="0" hidden="1">
      <extLst>
        <ext xmlns:x15="http://schemas.microsoft.com/office/spreadsheetml/2010/11/main" uri="{B97F6D7D-B522-45F9-BDA1-12C45D357490}">
          <x15:cacheHierarchy aggregatedColumn="16"/>
        </ext>
      </extLst>
    </cacheHierarchy>
    <cacheHierarchy uniqueName="[Measures].[Distinct Count of Listing URL]" caption="Distinct Count of Listing URL" measure="1" displayFolder="" measureGroup="Cirrus_Tracker" count="0" hidden="1">
      <extLst>
        <ext xmlns:x15="http://schemas.microsoft.com/office/spreadsheetml/2010/11/main" uri="{B97F6D7D-B522-45F9-BDA1-12C45D357490}">
          <x15:cacheHierarchy aggregatedColumn="16"/>
        </ext>
      </extLst>
    </cacheHierarchy>
  </cacheHierarchies>
  <kpis count="0"/>
  <dimensions count="2">
    <dimension name="Cirrus_Tracker" uniqueName="[Cirrus_Tracker]" caption="Cirrus_Tracker"/>
    <dimension measure="1" name="Measures" uniqueName="[Measures]" caption="Measures"/>
  </dimensions>
  <measureGroups count="1">
    <measureGroup name="Cirrus_Tracker" caption="Cirrus_Tracker"/>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ogesh Rajput" refreshedDate="46222.535030092593" backgroundQuery="1" createdVersion="8" refreshedVersion="8" minRefreshableVersion="3" recordCount="0" supportSubquery="1" supportAdvancedDrill="1" xr:uid="{F22696CF-16E0-4DBC-BA4D-1C9ADA0CEC79}">
  <cacheSource type="external" connectionId="1"/>
  <cacheFields count="6">
    <cacheField name="[Cirrus_Tracker].[Infringement Type].[Infringement Type]" caption="Infringement Type" numFmtId="0" hierarchy="26" level="1">
      <sharedItems count="3">
        <s v="Counterfeit"/>
        <s v="Unauthorised use of Trademark"/>
        <s v="Unauthorized use of Copyright image"/>
      </sharedItems>
    </cacheField>
    <cacheField name="[Measures].[Count of Listing ID]" caption="Count of Listing ID" numFmtId="0" hierarchy="48" level="32767"/>
    <cacheField name="[Cirrus_Tracker].[Platform].[Platform]" caption="Platform" numFmtId="0" hierarchy="6" level="1">
      <sharedItems count="3">
        <s v="1688.com"/>
        <s v="Alibaba.com"/>
        <s v="Made-in-china.com"/>
      </sharedItems>
    </cacheField>
    <cacheField name="[Cirrus_Tracker].[Monitoring month].[Monitoring month]" caption="Monitoring month" numFmtId="0" hierarchy="1" level="1">
      <sharedItems containsSemiMixedTypes="0" containsNonDate="0" containsString="0"/>
    </cacheField>
    <cacheField name="[Cirrus_Tracker].[POS Type].[POS Type]" caption="POS Type" numFmtId="0" hierarchy="4" level="1">
      <sharedItems count="2">
        <s v="Marketplace"/>
        <s v="Independent Website" u="1"/>
      </sharedItems>
    </cacheField>
    <cacheField name="[Cirrus_Tracker].[Monitoring month (Month)].[Monitoring month (Month)]" caption="Monitoring month (Month)" numFmtId="0" hierarchy="41" level="1">
      <sharedItems containsSemiMixedTypes="0" containsNonDate="0" containsString="0"/>
    </cacheField>
  </cacheFields>
  <cacheHierarchies count="53">
    <cacheHierarchy uniqueName="[Cirrus_Tracker].[Listing ID]" caption="Listing ID" attribute="1" defaultMemberUniqueName="[Cirrus_Tracker].[Listing ID].[All]" allUniqueName="[Cirrus_Tracker].[Listing ID].[All]" dimensionUniqueName="[Cirrus_Tracker]" displayFolder="" count="0" memberValueDatatype="130" unbalanced="0"/>
    <cacheHierarchy uniqueName="[Cirrus_Tracker].[Monitoring month]" caption="Monitoring month" attribute="1" time="1" defaultMemberUniqueName="[Cirrus_Tracker].[Monitoring month].[All]" allUniqueName="[Cirrus_Tracker].[Monitoring month].[All]" dimensionUniqueName="[Cirrus_Tracker]" displayFolder="" count="2" memberValueDatatype="7" unbalanced="0">
      <fieldsUsage count="2">
        <fieldUsage x="-1"/>
        <fieldUsage x="3"/>
      </fieldsUsage>
    </cacheHierarchy>
    <cacheHierarchy uniqueName="[Cirrus_Tracker].[Year]" caption="Year" attribute="1" defaultMemberUniqueName="[Cirrus_Tracker].[Year].[All]" allUniqueName="[Cirrus_Tracker].[Year].[All]" dimensionUniqueName="[Cirrus_Tracker]" displayFolder="" count="2" memberValueDatatype="20" unbalanced="0"/>
    <cacheHierarchy uniqueName="[Cirrus_Tracker].[Platform country]" caption="Platform country" attribute="1" defaultMemberUniqueName="[Cirrus_Tracker].[Platform country].[All]" allUniqueName="[Cirrus_Tracker].[Platform country].[All]" dimensionUniqueName="[Cirrus_Tracker]" displayFolder="" count="0" memberValueDatatype="130" unbalanced="0"/>
    <cacheHierarchy uniqueName="[Cirrus_Tracker].[POS Type]" caption="POS Type" attribute="1" defaultMemberUniqueName="[Cirrus_Tracker].[POS Type].[All]" allUniqueName="[Cirrus_Tracker].[POS Type].[All]" dimensionUniqueName="[Cirrus_Tracker]" displayFolder="" count="2" memberValueDatatype="130" unbalanced="0">
      <fieldsUsage count="2">
        <fieldUsage x="-1"/>
        <fieldUsage x="4"/>
      </fieldsUsage>
    </cacheHierarchy>
    <cacheHierarchy uniqueName="[Cirrus_Tracker].[Platform group]" caption="Platform group" attribute="1" defaultMemberUniqueName="[Cirrus_Tracker].[Platform group].[All]" allUniqueName="[Cirrus_Tracker].[Platform group].[All]" dimensionUniqueName="[Cirrus_Tracker]" displayFolder="" count="0" memberValueDatatype="130" unbalanced="0"/>
    <cacheHierarchy uniqueName="[Cirrus_Tracker].[Platform]" caption="Platform" attribute="1" defaultMemberUniqueName="[Cirrus_Tracker].[Platform].[All]" allUniqueName="[Cirrus_Tracker].[Platform].[All]" dimensionUniqueName="[Cirrus_Tracker]" displayFolder="" count="2" memberValueDatatype="130" unbalanced="0">
      <fieldsUsage count="2">
        <fieldUsage x="-1"/>
        <fieldUsage x="2"/>
      </fieldsUsage>
    </cacheHierarchy>
    <cacheHierarchy uniqueName="[Cirrus_Tracker].[Seller Flagged]" caption="Seller Flagged" attribute="1" defaultMemberUniqueName="[Cirrus_Tracker].[Seller Flagged].[All]" allUniqueName="[Cirrus_Tracker].[Seller Flagged].[All]" dimensionUniqueName="[Cirrus_Tracker]" displayFolder="" count="0" memberValueDatatype="130" unbalanced="0"/>
    <cacheHierarchy uniqueName="[Cirrus_Tracker].[Repeat Infringer]" caption="Repeat Infringer" attribute="1" defaultMemberUniqueName="[Cirrus_Tracker].[Repeat Infringer].[All]" allUniqueName="[Cirrus_Tracker].[Repeat Infringer].[All]" dimensionUniqueName="[Cirrus_Tracker]" displayFolder="" count="0" memberValueDatatype="130" unbalanced="0"/>
    <cacheHierarchy uniqueName="[Cirrus_Tracker].[Seller]" caption="Seller" attribute="1" defaultMemberUniqueName="[Cirrus_Tracker].[Seller].[All]" allUniqueName="[Cirrus_Tracker].[Seller].[All]" dimensionUniqueName="[Cirrus_Tracker]" displayFolder="" count="0" memberValueDatatype="130" unbalanced="0"/>
    <cacheHierarchy uniqueName="[Cirrus_Tracker].[Store URL]" caption="Store URL" attribute="1" defaultMemberUniqueName="[Cirrus_Tracker].[Store URL].[All]" allUniqueName="[Cirrus_Tracker].[Store URL].[All]" dimensionUniqueName="[Cirrus_Tracker]" displayFolder="" count="0" memberValueDatatype="130" unbalanced="0"/>
    <cacheHierarchy uniqueName="[Cirrus_Tracker].[Seller Business Type]" caption="Seller Business Type" attribute="1" defaultMemberUniqueName="[Cirrus_Tracker].[Seller Business Type].[All]" allUniqueName="[Cirrus_Tracker].[Seller Business Type].[All]" dimensionUniqueName="[Cirrus_Tracker]" displayFolder="" count="0" memberValueDatatype="130" unbalanced="0"/>
    <cacheHierarchy uniqueName="[Cirrus_Tracker].[Seller address]" caption="Seller address" attribute="1" defaultMemberUniqueName="[Cirrus_Tracker].[Seller address].[All]" allUniqueName="[Cirrus_Tracker].[Seller address].[All]" dimensionUniqueName="[Cirrus_Tracker]" displayFolder="" count="0" memberValueDatatype="130" unbalanced="0"/>
    <cacheHierarchy uniqueName="[Cirrus_Tracker].[Seller contact info]" caption="Seller contact info" attribute="1" defaultMemberUniqueName="[Cirrus_Tracker].[Seller contact info].[All]" allUniqueName="[Cirrus_Tracker].[Seller contact info].[All]" dimensionUniqueName="[Cirrus_Tracker]" displayFolder="" count="0" memberValueDatatype="130" unbalanced="0"/>
    <cacheHierarchy uniqueName="[Cirrus_Tracker].[Product Code]" caption="Product Code" attribute="1" defaultMemberUniqueName="[Cirrus_Tracker].[Product Code].[All]" allUniqueName="[Cirrus_Tracker].[Product Code].[All]" dimensionUniqueName="[Cirrus_Tracker]" displayFolder="" count="0" memberValueDatatype="130" unbalanced="0"/>
    <cacheHierarchy uniqueName="[Cirrus_Tracker].[Packmarks]" caption="Packmarks" attribute="1" defaultMemberUniqueName="[Cirrus_Tracker].[Packmarks].[All]" allUniqueName="[Cirrus_Tracker].[Packmarks].[All]" dimensionUniqueName="[Cirrus_Tracker]" displayFolder="" count="0" memberValueDatatype="130" unbalanced="0"/>
    <cacheHierarchy uniqueName="[Cirrus_Tracker].[Listing URL]" caption="Listing URL" attribute="1" defaultMemberUniqueName="[Cirrus_Tracker].[Listing URL].[All]" allUniqueName="[Cirrus_Tracker].[Listing URL].[All]" dimensionUniqueName="[Cirrus_Tracker]" displayFolder="" count="0" memberValueDatatype="130" unbalanced="0"/>
    <cacheHierarchy uniqueName="[Cirrus_Tracker].[Item No.]" caption="Item No." attribute="1" defaultMemberUniqueName="[Cirrus_Tracker].[Item No.].[All]" allUniqueName="[Cirrus_Tracker].[Item No.].[All]" dimensionUniqueName="[Cirrus_Tracker]" displayFolder="" count="0" memberValueDatatype="130" unbalanced="0"/>
    <cacheHierarchy uniqueName="[Cirrus_Tracker].[Product title]" caption="Product title" attribute="1" defaultMemberUniqueName="[Cirrus_Tracker].[Product title].[All]" allUniqueName="[Cirrus_Tracker].[Product title].[All]" dimensionUniqueName="[Cirrus_Tracker]" displayFolder="" count="0" memberValueDatatype="130" unbalanced="0"/>
    <cacheHierarchy uniqueName="[Cirrus_Tracker].[Advertised Price]" caption="Advertised Price" attribute="1" defaultMemberUniqueName="[Cirrus_Tracker].[Advertised Price].[All]" allUniqueName="[Cirrus_Tracker].[Advertised Price].[All]" dimensionUniqueName="[Cirrus_Tracker]" displayFolder="" count="0" memberValueDatatype="130" unbalanced="0"/>
    <cacheHierarchy uniqueName="[Cirrus_Tracker].[Currency]" caption="Currency" attribute="1" defaultMemberUniqueName="[Cirrus_Tracker].[Currency].[All]" allUniqueName="[Cirrus_Tracker].[Currency].[All]" dimensionUniqueName="[Cirrus_Tracker]" displayFolder="" count="0" memberValueDatatype="130" unbalanced="0"/>
    <cacheHierarchy uniqueName="[Cirrus_Tracker].[Advertised Price  (USD)]" caption="Advertised Price  (USD)" attribute="1" defaultMemberUniqueName="[Cirrus_Tracker].[Advertised Price  (USD)].[All]" allUniqueName="[Cirrus_Tracker].[Advertised Price  (USD)].[All]" dimensionUniqueName="[Cirrus_Tracker]" displayFolder="" count="0" memberValueDatatype="130" unbalanced="0"/>
    <cacheHierarchy uniqueName="[Cirrus_Tracker].[Official Price (USD)]" caption="Official Price (USD)" attribute="1" defaultMemberUniqueName="[Cirrus_Tracker].[Official Price (USD)].[All]" allUniqueName="[Cirrus_Tracker].[Official Price (USD)].[All]" dimensionUniqueName="[Cirrus_Tracker]" displayFolder="" count="0" memberValueDatatype="130" unbalanced="0"/>
    <cacheHierarchy uniqueName="[Cirrus_Tracker].[Discount %]" caption="Discount %" attribute="1" defaultMemberUniqueName="[Cirrus_Tracker].[Discount %].[All]" allUniqueName="[Cirrus_Tracker].[Discount %].[All]" dimensionUniqueName="[Cirrus_Tracker]" displayFolder="" count="0" memberValueDatatype="5" unbalanced="0"/>
    <cacheHierarchy uniqueName="[Cirrus_Tracker].[Stock (Units)]" caption="Stock (Units)" attribute="1" defaultMemberUniqueName="[Cirrus_Tracker].[Stock (Units)].[All]" allUniqueName="[Cirrus_Tracker].[Stock (Units)].[All]" dimensionUniqueName="[Cirrus_Tracker]" displayFolder="" count="0" memberValueDatatype="130" unbalanced="0"/>
    <cacheHierarchy uniqueName="[Cirrus_Tracker].[ATX Review Result]" caption="ATX Review Result" attribute="1" defaultMemberUniqueName="[Cirrus_Tracker].[ATX Review Result].[All]" allUniqueName="[Cirrus_Tracker].[ATX Review Result].[All]" dimensionUniqueName="[Cirrus_Tracker]" displayFolder="" count="0" memberValueDatatype="130" unbalanced="0"/>
    <cacheHierarchy uniqueName="[Cirrus_Tracker].[Infringement Type]" caption="Infringement Type" attribute="1" defaultMemberUniqueName="[Cirrus_Tracker].[Infringement Type].[All]" allUniqueName="[Cirrus_Tracker].[Infringement Type].[All]" dimensionUniqueName="[Cirrus_Tracker]" displayFolder="" count="2" memberValueDatatype="130" unbalanced="0">
      <fieldsUsage count="2">
        <fieldUsage x="-1"/>
        <fieldUsage x="0"/>
      </fieldsUsage>
    </cacheHierarchy>
    <cacheHierarchy uniqueName="[Cirrus_Tracker].[Risk indicator/Remarks]" caption="Risk indicator/Remarks" attribute="1" defaultMemberUniqueName="[Cirrus_Tracker].[Risk indicator/Remarks].[All]" allUniqueName="[Cirrus_Tracker].[Risk indicator/Remarks].[All]" dimensionUniqueName="[Cirrus_Tracker]" displayFolder="" count="0" memberValueDatatype="130" unbalanced="0"/>
    <cacheHierarchy uniqueName="[Cirrus_Tracker].[Complaint Draft/Evidence (PPT Slide Reference)]" caption="Complaint Draft/Evidence (PPT Slide Reference)" attribute="1" defaultMemberUniqueName="[Cirrus_Tracker].[Complaint Draft/Evidence (PPT Slide Reference)].[All]" allUniqueName="[Cirrus_Tracker].[Complaint Draft/Evidence (PPT Slide Reference)].[All]" dimensionUniqueName="[Cirrus_Tracker]" displayFolder="" count="0" memberValueDatatype="130" unbalanced="0"/>
    <cacheHierarchy uniqueName="[Cirrus_Tracker].[Feedback from ABC Company team]" caption="Feedback from ABC Company team" attribute="1" defaultMemberUniqueName="[Cirrus_Tracker].[Feedback from ABC Company team].[All]" allUniqueName="[Cirrus_Tracker].[Feedback from ABC Company team].[All]" dimensionUniqueName="[Cirrus_Tracker]" displayFolder="" count="0" memberValueDatatype="130" unbalanced="0"/>
    <cacheHierarchy uniqueName="[Cirrus_Tracker].[Test buy conducted (Yes/No)]" caption="Test buy conducted (Yes/No)" attribute="1" defaultMemberUniqueName="[Cirrus_Tracker].[Test buy conducted (Yes/No)].[All]" allUniqueName="[Cirrus_Tracker].[Test buy conducted (Yes/No)].[All]" dimensionUniqueName="[Cirrus_Tracker]" displayFolder="" count="0" memberValueDatatype="130" unbalanced="0"/>
    <cacheHierarchy uniqueName="[Cirrus_Tracker].[Test buy date]" caption="Test buy date" attribute="1" time="1" defaultMemberUniqueName="[Cirrus_Tracker].[Test buy date].[All]" allUniqueName="[Cirrus_Tracker].[Test buy date].[All]" dimensionUniqueName="[Cirrus_Tracker]" displayFolder="" count="0" memberValueDatatype="7" unbalanced="0"/>
    <cacheHierarchy uniqueName="[Cirrus_Tracker].[Test Buy Status]" caption="Test Buy Status" attribute="1" defaultMemberUniqueName="[Cirrus_Tracker].[Test Buy Status].[All]" allUniqueName="[Cirrus_Tracker].[Test Buy Status].[All]" dimensionUniqueName="[Cirrus_Tracker]" displayFolder="" count="0" memberValueDatatype="130" unbalanced="0"/>
    <cacheHierarchy uniqueName="[Cirrus_Tracker].[Test buy result]" caption="Test buy result" attribute="1" defaultMemberUniqueName="[Cirrus_Tracker].[Test buy result].[All]" allUniqueName="[Cirrus_Tracker].[Test buy result].[All]" dimensionUniqueName="[Cirrus_Tracker]" displayFolder="" count="0" memberValueDatatype="130" unbalanced="0"/>
    <cacheHierarchy uniqueName="[Cirrus_Tracker].[Complaint Status]" caption="Complaint Status" attribute="1" defaultMemberUniqueName="[Cirrus_Tracker].[Complaint Status].[All]" allUniqueName="[Cirrus_Tracker].[Complaint Status].[All]" dimensionUniqueName="[Cirrus_Tracker]" displayFolder="" count="2" memberValueDatatype="130" unbalanced="0"/>
    <cacheHierarchy uniqueName="[Cirrus_Tracker].[Not Filed Reason]" caption="Not Filed Reason" attribute="1" defaultMemberUniqueName="[Cirrus_Tracker].[Not Filed Reason].[All]" allUniqueName="[Cirrus_Tracker].[Not Filed Reason].[All]" dimensionUniqueName="[Cirrus_Tracker]" displayFolder="" count="0" memberValueDatatype="130" unbalanced="0"/>
    <cacheHierarchy uniqueName="[Cirrus_Tracker].[Complaint Date]" caption="Complaint Date" attribute="1" time="1" defaultMemberUniqueName="[Cirrus_Tracker].[Complaint Date].[All]" allUniqueName="[Cirrus_Tracker].[Complaint Date].[All]" dimensionUniqueName="[Cirrus_Tracker]" displayFolder="" count="0" memberValueDatatype="7" unbalanced="0"/>
    <cacheHierarchy uniqueName="[Cirrus_Tracker].[Complaint ID]" caption="Complaint ID" attribute="1" defaultMemberUniqueName="[Cirrus_Tracker].[Complaint ID].[All]" allUniqueName="[Cirrus_Tracker].[Complaint ID].[All]" dimensionUniqueName="[Cirrus_Tracker]" displayFolder="" count="0" memberValueDatatype="130" unbalanced="0"/>
    <cacheHierarchy uniqueName="[Cirrus_Tracker].[Takedown Status]" caption="Takedown Status" attribute="1" defaultMemberUniqueName="[Cirrus_Tracker].[Takedown Status].[All]" allUniqueName="[Cirrus_Tracker].[Takedown Status].[All]" dimensionUniqueName="[Cirrus_Tracker]" displayFolder="" count="0" memberValueDatatype="130" unbalanced="0"/>
    <cacheHierarchy uniqueName="[Cirrus_Tracker].[Takedown Date]" caption="Takedown Date" attribute="1" time="1" defaultMemberUniqueName="[Cirrus_Tracker].[Takedown Date].[All]" allUniqueName="[Cirrus_Tracker].[Takedown Date].[All]" dimensionUniqueName="[Cirrus_Tracker]" displayFolder="" count="0" memberValueDatatype="7" unbalanced="0"/>
    <cacheHierarchy uniqueName="[Cirrus_Tracker].[Next steps]" caption="Next steps" attribute="1" defaultMemberUniqueName="[Cirrus_Tracker].[Next steps].[All]" allUniqueName="[Cirrus_Tracker].[Next steps].[All]" dimensionUniqueName="[Cirrus_Tracker]" displayFolder="" count="0" memberValueDatatype="130" unbalanced="0"/>
    <cacheHierarchy uniqueName="[Cirrus_Tracker].[Monitoring month (Month)]" caption="Monitoring month (Month)" attribute="1" defaultMemberUniqueName="[Cirrus_Tracker].[Monitoring month (Month)].[All]" allUniqueName="[Cirrus_Tracker].[Monitoring month (Month)].[All]" dimensionUniqueName="[Cirrus_Tracker]" displayFolder="" count="2" memberValueDatatype="130" unbalanced="0">
      <fieldsUsage count="2">
        <fieldUsage x="-1"/>
        <fieldUsage x="5"/>
      </fieldsUsage>
    </cacheHierarchy>
    <cacheHierarchy uniqueName="[Cirrus_Tracker].[Monitoring month (Year)]" caption="Monitoring month (Year)" attribute="1" defaultMemberUniqueName="[Cirrus_Tracker].[Monitoring month (Year)].[All]" allUniqueName="[Cirrus_Tracker].[Monitoring month (Year)].[All]" dimensionUniqueName="[Cirrus_Tracker]" displayFolder="" count="0" memberValueDatatype="130" unbalanced="0"/>
    <cacheHierarchy uniqueName="[Cirrus_Tracker].[Monitoring month (Quarter)]" caption="Monitoring month (Quarter)" attribute="1" defaultMemberUniqueName="[Cirrus_Tracker].[Monitoring month (Quarter)].[All]" allUniqueName="[Cirrus_Tracker].[Monitoring month (Quarter)].[All]" dimensionUniqueName="[Cirrus_Tracker]" displayFolder="" count="0" memberValueDatatype="130" unbalanced="0"/>
    <cacheHierarchy uniqueName="[Cirrus_Tracker].[ATX remark on next steps]" caption="ATX remark on next steps" attribute="1" defaultMemberUniqueName="[Cirrus_Tracker].[ATX remark on next steps].[All]" allUniqueName="[Cirrus_Tracker].[ATX remark on next steps].[All]" dimensionUniqueName="[Cirrus_Tracker]" displayFolder="" count="0" memberValueDatatype="130" unbalanced="0"/>
    <cacheHierarchy uniqueName="[Cirrus_Tracker].[Monitoring month (Month Index)]" caption="Monitoring month (Month Index)" attribute="1" defaultMemberUniqueName="[Cirrus_Tracker].[Monitoring month (Month Index)].[All]" allUniqueName="[Cirrus_Tracker].[Monitoring month (Month Index)].[All]" dimensionUniqueName="[Cirrus_Tracker]" displayFolder="" count="0" memberValueDatatype="20" unbalanced="0" hidden="1"/>
    <cacheHierarchy uniqueName="[Measures].[__XL_Count Cirrus_Tracker]" caption="__XL_Count Cirrus_Tracker" measure="1" displayFolder="" measureGroup="Cirrus_Tracker" count="0" hidden="1"/>
    <cacheHierarchy uniqueName="[Measures].[__No measures defined]" caption="__No measures defined" measure="1" displayFolder="" count="0" hidden="1"/>
    <cacheHierarchy uniqueName="[Measures].[Count of Listing ID]" caption="Count of Listing ID" measure="1" displayFolder="" measureGroup="Cirrus_Tracker" count="0" oneField="1" hidden="1">
      <fieldsUsage count="1">
        <fieldUsage x="1"/>
      </fieldsUsage>
      <extLst>
        <ext xmlns:x15="http://schemas.microsoft.com/office/spreadsheetml/2010/11/main" uri="{B97F6D7D-B522-45F9-BDA1-12C45D357490}">
          <x15:cacheHierarchy aggregatedColumn="0"/>
        </ext>
      </extLst>
    </cacheHierarchy>
    <cacheHierarchy uniqueName="[Measures].[Count of Seller]" caption="Count of Seller" measure="1" displayFolder="" measureGroup="Cirrus_Tracker" count="0" hidden="1">
      <extLst>
        <ext xmlns:x15="http://schemas.microsoft.com/office/spreadsheetml/2010/11/main" uri="{B97F6D7D-B522-45F9-BDA1-12C45D357490}">
          <x15:cacheHierarchy aggregatedColumn="9"/>
        </ext>
      </extLst>
    </cacheHierarchy>
    <cacheHierarchy uniqueName="[Measures].[Distinct Count of Seller]" caption="Distinct Count of Seller" measure="1" displayFolder="" measureGroup="Cirrus_Tracker" count="0" hidden="1">
      <extLst>
        <ext xmlns:x15="http://schemas.microsoft.com/office/spreadsheetml/2010/11/main" uri="{B97F6D7D-B522-45F9-BDA1-12C45D357490}">
          <x15:cacheHierarchy aggregatedColumn="9"/>
        </ext>
      </extLst>
    </cacheHierarchy>
    <cacheHierarchy uniqueName="[Measures].[Count of Listing URL]" caption="Count of Listing URL" measure="1" displayFolder="" measureGroup="Cirrus_Tracker" count="0" hidden="1">
      <extLst>
        <ext xmlns:x15="http://schemas.microsoft.com/office/spreadsheetml/2010/11/main" uri="{B97F6D7D-B522-45F9-BDA1-12C45D357490}">
          <x15:cacheHierarchy aggregatedColumn="16"/>
        </ext>
      </extLst>
    </cacheHierarchy>
    <cacheHierarchy uniqueName="[Measures].[Distinct Count of Listing URL]" caption="Distinct Count of Listing URL" measure="1" displayFolder="" measureGroup="Cirrus_Tracker" count="0" hidden="1">
      <extLst>
        <ext xmlns:x15="http://schemas.microsoft.com/office/spreadsheetml/2010/11/main" uri="{B97F6D7D-B522-45F9-BDA1-12C45D357490}">
          <x15:cacheHierarchy aggregatedColumn="16"/>
        </ext>
      </extLst>
    </cacheHierarchy>
  </cacheHierarchies>
  <kpis count="0"/>
  <dimensions count="2">
    <dimension name="Cirrus_Tracker" uniqueName="[Cirrus_Tracker]" caption="Cirrus_Tracker"/>
    <dimension measure="1" name="Measures" uniqueName="[Measures]" caption="Measures"/>
  </dimensions>
  <measureGroups count="1">
    <measureGroup name="Cirrus_Tracker" caption="Cirrus_Tracker"/>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ogesh Rajput" refreshedDate="46222.535030439816" backgroundQuery="1" createdVersion="8" refreshedVersion="8" minRefreshableVersion="3" recordCount="0" supportSubquery="1" supportAdvancedDrill="1" xr:uid="{27117F61-96EC-4110-A4D1-280B411EE136}">
  <cacheSource type="external" connectionId="1"/>
  <cacheFields count="5">
    <cacheField name="[Cirrus_Tracker].[Infringement Type].[Infringement Type]" caption="Infringement Type" numFmtId="0" hierarchy="26" level="1">
      <sharedItems count="3">
        <s v="Counterfeit"/>
        <s v="Unauthorised use of Trademark"/>
        <s v="Unauthorized use of Copyright image"/>
      </sharedItems>
    </cacheField>
    <cacheField name="[Measures].[Count of Listing ID]" caption="Count of Listing ID" numFmtId="0" hierarchy="48" level="32767"/>
    <cacheField name="[Cirrus_Tracker].[Product Code].[Product Code]" caption="Product Code" numFmtId="0" hierarchy="14" level="1">
      <sharedItems count="3">
        <s v="CS3003"/>
        <s v="CS8421"/>
        <s v="EP9302"/>
      </sharedItems>
    </cacheField>
    <cacheField name="[Cirrus_Tracker].[Monitoring month].[Monitoring month]" caption="Monitoring month" numFmtId="0" hierarchy="1" level="1">
      <sharedItems containsSemiMixedTypes="0" containsNonDate="0" containsString="0"/>
    </cacheField>
    <cacheField name="[Cirrus_Tracker].[Monitoring month (Month)].[Monitoring month (Month)]" caption="Monitoring month (Month)" numFmtId="0" hierarchy="41" level="1">
      <sharedItems containsSemiMixedTypes="0" containsNonDate="0" containsString="0"/>
    </cacheField>
  </cacheFields>
  <cacheHierarchies count="53">
    <cacheHierarchy uniqueName="[Cirrus_Tracker].[Listing ID]" caption="Listing ID" attribute="1" defaultMemberUniqueName="[Cirrus_Tracker].[Listing ID].[All]" allUniqueName="[Cirrus_Tracker].[Listing ID].[All]" dimensionUniqueName="[Cirrus_Tracker]" displayFolder="" count="0" memberValueDatatype="130" unbalanced="0"/>
    <cacheHierarchy uniqueName="[Cirrus_Tracker].[Monitoring month]" caption="Monitoring month" attribute="1" time="1" defaultMemberUniqueName="[Cirrus_Tracker].[Monitoring month].[All]" allUniqueName="[Cirrus_Tracker].[Monitoring month].[All]" dimensionUniqueName="[Cirrus_Tracker]" displayFolder="" count="2" memberValueDatatype="7" unbalanced="0">
      <fieldsUsage count="2">
        <fieldUsage x="-1"/>
        <fieldUsage x="3"/>
      </fieldsUsage>
    </cacheHierarchy>
    <cacheHierarchy uniqueName="[Cirrus_Tracker].[Year]" caption="Year" attribute="1" defaultMemberUniqueName="[Cirrus_Tracker].[Year].[All]" allUniqueName="[Cirrus_Tracker].[Year].[All]" dimensionUniqueName="[Cirrus_Tracker]" displayFolder="" count="2" memberValueDatatype="20" unbalanced="0"/>
    <cacheHierarchy uniqueName="[Cirrus_Tracker].[Platform country]" caption="Platform country" attribute="1" defaultMemberUniqueName="[Cirrus_Tracker].[Platform country].[All]" allUniqueName="[Cirrus_Tracker].[Platform country].[All]" dimensionUniqueName="[Cirrus_Tracker]" displayFolder="" count="0" memberValueDatatype="130" unbalanced="0"/>
    <cacheHierarchy uniqueName="[Cirrus_Tracker].[POS Type]" caption="POS Type" attribute="1" defaultMemberUniqueName="[Cirrus_Tracker].[POS Type].[All]" allUniqueName="[Cirrus_Tracker].[POS Type].[All]" dimensionUniqueName="[Cirrus_Tracker]" displayFolder="" count="2" memberValueDatatype="130" unbalanced="0"/>
    <cacheHierarchy uniqueName="[Cirrus_Tracker].[Platform group]" caption="Platform group" attribute="1" defaultMemberUniqueName="[Cirrus_Tracker].[Platform group].[All]" allUniqueName="[Cirrus_Tracker].[Platform group].[All]" dimensionUniqueName="[Cirrus_Tracker]" displayFolder="" count="0" memberValueDatatype="130" unbalanced="0"/>
    <cacheHierarchy uniqueName="[Cirrus_Tracker].[Platform]" caption="Platform" attribute="1" defaultMemberUniqueName="[Cirrus_Tracker].[Platform].[All]" allUniqueName="[Cirrus_Tracker].[Platform].[All]" dimensionUniqueName="[Cirrus_Tracker]" displayFolder="" count="0" memberValueDatatype="130" unbalanced="0"/>
    <cacheHierarchy uniqueName="[Cirrus_Tracker].[Seller Flagged]" caption="Seller Flagged" attribute="1" defaultMemberUniqueName="[Cirrus_Tracker].[Seller Flagged].[All]" allUniqueName="[Cirrus_Tracker].[Seller Flagged].[All]" dimensionUniqueName="[Cirrus_Tracker]" displayFolder="" count="0" memberValueDatatype="130" unbalanced="0"/>
    <cacheHierarchy uniqueName="[Cirrus_Tracker].[Repeat Infringer]" caption="Repeat Infringer" attribute="1" defaultMemberUniqueName="[Cirrus_Tracker].[Repeat Infringer].[All]" allUniqueName="[Cirrus_Tracker].[Repeat Infringer].[All]" dimensionUniqueName="[Cirrus_Tracker]" displayFolder="" count="0" memberValueDatatype="130" unbalanced="0"/>
    <cacheHierarchy uniqueName="[Cirrus_Tracker].[Seller]" caption="Seller" attribute="1" defaultMemberUniqueName="[Cirrus_Tracker].[Seller].[All]" allUniqueName="[Cirrus_Tracker].[Seller].[All]" dimensionUniqueName="[Cirrus_Tracker]" displayFolder="" count="0" memberValueDatatype="130" unbalanced="0"/>
    <cacheHierarchy uniqueName="[Cirrus_Tracker].[Store URL]" caption="Store URL" attribute="1" defaultMemberUniqueName="[Cirrus_Tracker].[Store URL].[All]" allUniqueName="[Cirrus_Tracker].[Store URL].[All]" dimensionUniqueName="[Cirrus_Tracker]" displayFolder="" count="0" memberValueDatatype="130" unbalanced="0"/>
    <cacheHierarchy uniqueName="[Cirrus_Tracker].[Seller Business Type]" caption="Seller Business Type" attribute="1" defaultMemberUniqueName="[Cirrus_Tracker].[Seller Business Type].[All]" allUniqueName="[Cirrus_Tracker].[Seller Business Type].[All]" dimensionUniqueName="[Cirrus_Tracker]" displayFolder="" count="0" memberValueDatatype="130" unbalanced="0"/>
    <cacheHierarchy uniqueName="[Cirrus_Tracker].[Seller address]" caption="Seller address" attribute="1" defaultMemberUniqueName="[Cirrus_Tracker].[Seller address].[All]" allUniqueName="[Cirrus_Tracker].[Seller address].[All]" dimensionUniqueName="[Cirrus_Tracker]" displayFolder="" count="0" memberValueDatatype="130" unbalanced="0"/>
    <cacheHierarchy uniqueName="[Cirrus_Tracker].[Seller contact info]" caption="Seller contact info" attribute="1" defaultMemberUniqueName="[Cirrus_Tracker].[Seller contact info].[All]" allUniqueName="[Cirrus_Tracker].[Seller contact info].[All]" dimensionUniqueName="[Cirrus_Tracker]" displayFolder="" count="0" memberValueDatatype="130" unbalanced="0"/>
    <cacheHierarchy uniqueName="[Cirrus_Tracker].[Product Code]" caption="Product Code" attribute="1" defaultMemberUniqueName="[Cirrus_Tracker].[Product Code].[All]" allUniqueName="[Cirrus_Tracker].[Product Code].[All]" dimensionUniqueName="[Cirrus_Tracker]" displayFolder="" count="2" memberValueDatatype="130" unbalanced="0">
      <fieldsUsage count="2">
        <fieldUsage x="-1"/>
        <fieldUsage x="2"/>
      </fieldsUsage>
    </cacheHierarchy>
    <cacheHierarchy uniqueName="[Cirrus_Tracker].[Packmarks]" caption="Packmarks" attribute="1" defaultMemberUniqueName="[Cirrus_Tracker].[Packmarks].[All]" allUniqueName="[Cirrus_Tracker].[Packmarks].[All]" dimensionUniqueName="[Cirrus_Tracker]" displayFolder="" count="0" memberValueDatatype="130" unbalanced="0"/>
    <cacheHierarchy uniqueName="[Cirrus_Tracker].[Listing URL]" caption="Listing URL" attribute="1" defaultMemberUniqueName="[Cirrus_Tracker].[Listing URL].[All]" allUniqueName="[Cirrus_Tracker].[Listing URL].[All]" dimensionUniqueName="[Cirrus_Tracker]" displayFolder="" count="0" memberValueDatatype="130" unbalanced="0"/>
    <cacheHierarchy uniqueName="[Cirrus_Tracker].[Item No.]" caption="Item No." attribute="1" defaultMemberUniqueName="[Cirrus_Tracker].[Item No.].[All]" allUniqueName="[Cirrus_Tracker].[Item No.].[All]" dimensionUniqueName="[Cirrus_Tracker]" displayFolder="" count="0" memberValueDatatype="130" unbalanced="0"/>
    <cacheHierarchy uniqueName="[Cirrus_Tracker].[Product title]" caption="Product title" attribute="1" defaultMemberUniqueName="[Cirrus_Tracker].[Product title].[All]" allUniqueName="[Cirrus_Tracker].[Product title].[All]" dimensionUniqueName="[Cirrus_Tracker]" displayFolder="" count="0" memberValueDatatype="130" unbalanced="0"/>
    <cacheHierarchy uniqueName="[Cirrus_Tracker].[Advertised Price]" caption="Advertised Price" attribute="1" defaultMemberUniqueName="[Cirrus_Tracker].[Advertised Price].[All]" allUniqueName="[Cirrus_Tracker].[Advertised Price].[All]" dimensionUniqueName="[Cirrus_Tracker]" displayFolder="" count="0" memberValueDatatype="130" unbalanced="0"/>
    <cacheHierarchy uniqueName="[Cirrus_Tracker].[Currency]" caption="Currency" attribute="1" defaultMemberUniqueName="[Cirrus_Tracker].[Currency].[All]" allUniqueName="[Cirrus_Tracker].[Currency].[All]" dimensionUniqueName="[Cirrus_Tracker]" displayFolder="" count="0" memberValueDatatype="130" unbalanced="0"/>
    <cacheHierarchy uniqueName="[Cirrus_Tracker].[Advertised Price  (USD)]" caption="Advertised Price  (USD)" attribute="1" defaultMemberUniqueName="[Cirrus_Tracker].[Advertised Price  (USD)].[All]" allUniqueName="[Cirrus_Tracker].[Advertised Price  (USD)].[All]" dimensionUniqueName="[Cirrus_Tracker]" displayFolder="" count="0" memberValueDatatype="130" unbalanced="0"/>
    <cacheHierarchy uniqueName="[Cirrus_Tracker].[Official Price (USD)]" caption="Official Price (USD)" attribute="1" defaultMemberUniqueName="[Cirrus_Tracker].[Official Price (USD)].[All]" allUniqueName="[Cirrus_Tracker].[Official Price (USD)].[All]" dimensionUniqueName="[Cirrus_Tracker]" displayFolder="" count="0" memberValueDatatype="130" unbalanced="0"/>
    <cacheHierarchy uniqueName="[Cirrus_Tracker].[Discount %]" caption="Discount %" attribute="1" defaultMemberUniqueName="[Cirrus_Tracker].[Discount %].[All]" allUniqueName="[Cirrus_Tracker].[Discount %].[All]" dimensionUniqueName="[Cirrus_Tracker]" displayFolder="" count="0" memberValueDatatype="5" unbalanced="0"/>
    <cacheHierarchy uniqueName="[Cirrus_Tracker].[Stock (Units)]" caption="Stock (Units)" attribute="1" defaultMemberUniqueName="[Cirrus_Tracker].[Stock (Units)].[All]" allUniqueName="[Cirrus_Tracker].[Stock (Units)].[All]" dimensionUniqueName="[Cirrus_Tracker]" displayFolder="" count="0" memberValueDatatype="130" unbalanced="0"/>
    <cacheHierarchy uniqueName="[Cirrus_Tracker].[ATX Review Result]" caption="ATX Review Result" attribute="1" defaultMemberUniqueName="[Cirrus_Tracker].[ATX Review Result].[All]" allUniqueName="[Cirrus_Tracker].[ATX Review Result].[All]" dimensionUniqueName="[Cirrus_Tracker]" displayFolder="" count="0" memberValueDatatype="130" unbalanced="0"/>
    <cacheHierarchy uniqueName="[Cirrus_Tracker].[Infringement Type]" caption="Infringement Type" attribute="1" defaultMemberUniqueName="[Cirrus_Tracker].[Infringement Type].[All]" allUniqueName="[Cirrus_Tracker].[Infringement Type].[All]" dimensionUniqueName="[Cirrus_Tracker]" displayFolder="" count="2" memberValueDatatype="130" unbalanced="0">
      <fieldsUsage count="2">
        <fieldUsage x="-1"/>
        <fieldUsage x="0"/>
      </fieldsUsage>
    </cacheHierarchy>
    <cacheHierarchy uniqueName="[Cirrus_Tracker].[Risk indicator/Remarks]" caption="Risk indicator/Remarks" attribute="1" defaultMemberUniqueName="[Cirrus_Tracker].[Risk indicator/Remarks].[All]" allUniqueName="[Cirrus_Tracker].[Risk indicator/Remarks].[All]" dimensionUniqueName="[Cirrus_Tracker]" displayFolder="" count="0" memberValueDatatype="130" unbalanced="0"/>
    <cacheHierarchy uniqueName="[Cirrus_Tracker].[Complaint Draft/Evidence (PPT Slide Reference)]" caption="Complaint Draft/Evidence (PPT Slide Reference)" attribute="1" defaultMemberUniqueName="[Cirrus_Tracker].[Complaint Draft/Evidence (PPT Slide Reference)].[All]" allUniqueName="[Cirrus_Tracker].[Complaint Draft/Evidence (PPT Slide Reference)].[All]" dimensionUniqueName="[Cirrus_Tracker]" displayFolder="" count="0" memberValueDatatype="130" unbalanced="0"/>
    <cacheHierarchy uniqueName="[Cirrus_Tracker].[Feedback from ABC Company team]" caption="Feedback from ABC Company team" attribute="1" defaultMemberUniqueName="[Cirrus_Tracker].[Feedback from ABC Company team].[All]" allUniqueName="[Cirrus_Tracker].[Feedback from ABC Company team].[All]" dimensionUniqueName="[Cirrus_Tracker]" displayFolder="" count="0" memberValueDatatype="130" unbalanced="0"/>
    <cacheHierarchy uniqueName="[Cirrus_Tracker].[Test buy conducted (Yes/No)]" caption="Test buy conducted (Yes/No)" attribute="1" defaultMemberUniqueName="[Cirrus_Tracker].[Test buy conducted (Yes/No)].[All]" allUniqueName="[Cirrus_Tracker].[Test buy conducted (Yes/No)].[All]" dimensionUniqueName="[Cirrus_Tracker]" displayFolder="" count="0" memberValueDatatype="130" unbalanced="0"/>
    <cacheHierarchy uniqueName="[Cirrus_Tracker].[Test buy date]" caption="Test buy date" attribute="1" time="1" defaultMemberUniqueName="[Cirrus_Tracker].[Test buy date].[All]" allUniqueName="[Cirrus_Tracker].[Test buy date].[All]" dimensionUniqueName="[Cirrus_Tracker]" displayFolder="" count="0" memberValueDatatype="7" unbalanced="0"/>
    <cacheHierarchy uniqueName="[Cirrus_Tracker].[Test Buy Status]" caption="Test Buy Status" attribute="1" defaultMemberUniqueName="[Cirrus_Tracker].[Test Buy Status].[All]" allUniqueName="[Cirrus_Tracker].[Test Buy Status].[All]" dimensionUniqueName="[Cirrus_Tracker]" displayFolder="" count="0" memberValueDatatype="130" unbalanced="0"/>
    <cacheHierarchy uniqueName="[Cirrus_Tracker].[Test buy result]" caption="Test buy result" attribute="1" defaultMemberUniqueName="[Cirrus_Tracker].[Test buy result].[All]" allUniqueName="[Cirrus_Tracker].[Test buy result].[All]" dimensionUniqueName="[Cirrus_Tracker]" displayFolder="" count="0" memberValueDatatype="130" unbalanced="0"/>
    <cacheHierarchy uniqueName="[Cirrus_Tracker].[Complaint Status]" caption="Complaint Status" attribute="1" defaultMemberUniqueName="[Cirrus_Tracker].[Complaint Status].[All]" allUniqueName="[Cirrus_Tracker].[Complaint Status].[All]" dimensionUniqueName="[Cirrus_Tracker]" displayFolder="" count="2" memberValueDatatype="130" unbalanced="0"/>
    <cacheHierarchy uniqueName="[Cirrus_Tracker].[Not Filed Reason]" caption="Not Filed Reason" attribute="1" defaultMemberUniqueName="[Cirrus_Tracker].[Not Filed Reason].[All]" allUniqueName="[Cirrus_Tracker].[Not Filed Reason].[All]" dimensionUniqueName="[Cirrus_Tracker]" displayFolder="" count="0" memberValueDatatype="130" unbalanced="0"/>
    <cacheHierarchy uniqueName="[Cirrus_Tracker].[Complaint Date]" caption="Complaint Date" attribute="1" time="1" defaultMemberUniqueName="[Cirrus_Tracker].[Complaint Date].[All]" allUniqueName="[Cirrus_Tracker].[Complaint Date].[All]" dimensionUniqueName="[Cirrus_Tracker]" displayFolder="" count="0" memberValueDatatype="7" unbalanced="0"/>
    <cacheHierarchy uniqueName="[Cirrus_Tracker].[Complaint ID]" caption="Complaint ID" attribute="1" defaultMemberUniqueName="[Cirrus_Tracker].[Complaint ID].[All]" allUniqueName="[Cirrus_Tracker].[Complaint ID].[All]" dimensionUniqueName="[Cirrus_Tracker]" displayFolder="" count="0" memberValueDatatype="130" unbalanced="0"/>
    <cacheHierarchy uniqueName="[Cirrus_Tracker].[Takedown Status]" caption="Takedown Status" attribute="1" defaultMemberUniqueName="[Cirrus_Tracker].[Takedown Status].[All]" allUniqueName="[Cirrus_Tracker].[Takedown Status].[All]" dimensionUniqueName="[Cirrus_Tracker]" displayFolder="" count="0" memberValueDatatype="130" unbalanced="0"/>
    <cacheHierarchy uniqueName="[Cirrus_Tracker].[Takedown Date]" caption="Takedown Date" attribute="1" time="1" defaultMemberUniqueName="[Cirrus_Tracker].[Takedown Date].[All]" allUniqueName="[Cirrus_Tracker].[Takedown Date].[All]" dimensionUniqueName="[Cirrus_Tracker]" displayFolder="" count="0" memberValueDatatype="7" unbalanced="0"/>
    <cacheHierarchy uniqueName="[Cirrus_Tracker].[Next steps]" caption="Next steps" attribute="1" defaultMemberUniqueName="[Cirrus_Tracker].[Next steps].[All]" allUniqueName="[Cirrus_Tracker].[Next steps].[All]" dimensionUniqueName="[Cirrus_Tracker]" displayFolder="" count="0" memberValueDatatype="130" unbalanced="0"/>
    <cacheHierarchy uniqueName="[Cirrus_Tracker].[Monitoring month (Month)]" caption="Monitoring month (Month)" attribute="1" defaultMemberUniqueName="[Cirrus_Tracker].[Monitoring month (Month)].[All]" allUniqueName="[Cirrus_Tracker].[Monitoring month (Month)].[All]" dimensionUniqueName="[Cirrus_Tracker]" displayFolder="" count="2" memberValueDatatype="130" unbalanced="0">
      <fieldsUsage count="2">
        <fieldUsage x="-1"/>
        <fieldUsage x="4"/>
      </fieldsUsage>
    </cacheHierarchy>
    <cacheHierarchy uniqueName="[Cirrus_Tracker].[Monitoring month (Year)]" caption="Monitoring month (Year)" attribute="1" defaultMemberUniqueName="[Cirrus_Tracker].[Monitoring month (Year)].[All]" allUniqueName="[Cirrus_Tracker].[Monitoring month (Year)].[All]" dimensionUniqueName="[Cirrus_Tracker]" displayFolder="" count="0" memberValueDatatype="130" unbalanced="0"/>
    <cacheHierarchy uniqueName="[Cirrus_Tracker].[Monitoring month (Quarter)]" caption="Monitoring month (Quarter)" attribute="1" defaultMemberUniqueName="[Cirrus_Tracker].[Monitoring month (Quarter)].[All]" allUniqueName="[Cirrus_Tracker].[Monitoring month (Quarter)].[All]" dimensionUniqueName="[Cirrus_Tracker]" displayFolder="" count="0" memberValueDatatype="130" unbalanced="0"/>
    <cacheHierarchy uniqueName="[Cirrus_Tracker].[ATX remark on next steps]" caption="ATX remark on next steps" attribute="1" defaultMemberUniqueName="[Cirrus_Tracker].[ATX remark on next steps].[All]" allUniqueName="[Cirrus_Tracker].[ATX remark on next steps].[All]" dimensionUniqueName="[Cirrus_Tracker]" displayFolder="" count="0" memberValueDatatype="130" unbalanced="0"/>
    <cacheHierarchy uniqueName="[Cirrus_Tracker].[Monitoring month (Month Index)]" caption="Monitoring month (Month Index)" attribute="1" defaultMemberUniqueName="[Cirrus_Tracker].[Monitoring month (Month Index)].[All]" allUniqueName="[Cirrus_Tracker].[Monitoring month (Month Index)].[All]" dimensionUniqueName="[Cirrus_Tracker]" displayFolder="" count="0" memberValueDatatype="20" unbalanced="0" hidden="1"/>
    <cacheHierarchy uniqueName="[Measures].[__XL_Count Cirrus_Tracker]" caption="__XL_Count Cirrus_Tracker" measure="1" displayFolder="" measureGroup="Cirrus_Tracker" count="0" hidden="1"/>
    <cacheHierarchy uniqueName="[Measures].[__No measures defined]" caption="__No measures defined" measure="1" displayFolder="" count="0" hidden="1"/>
    <cacheHierarchy uniqueName="[Measures].[Count of Listing ID]" caption="Count of Listing ID" measure="1" displayFolder="" measureGroup="Cirrus_Tracker" count="0" oneField="1" hidden="1">
      <fieldsUsage count="1">
        <fieldUsage x="1"/>
      </fieldsUsage>
      <extLst>
        <ext xmlns:x15="http://schemas.microsoft.com/office/spreadsheetml/2010/11/main" uri="{B97F6D7D-B522-45F9-BDA1-12C45D357490}">
          <x15:cacheHierarchy aggregatedColumn="0"/>
        </ext>
      </extLst>
    </cacheHierarchy>
    <cacheHierarchy uniqueName="[Measures].[Count of Seller]" caption="Count of Seller" measure="1" displayFolder="" measureGroup="Cirrus_Tracker" count="0" hidden="1">
      <extLst>
        <ext xmlns:x15="http://schemas.microsoft.com/office/spreadsheetml/2010/11/main" uri="{B97F6D7D-B522-45F9-BDA1-12C45D357490}">
          <x15:cacheHierarchy aggregatedColumn="9"/>
        </ext>
      </extLst>
    </cacheHierarchy>
    <cacheHierarchy uniqueName="[Measures].[Distinct Count of Seller]" caption="Distinct Count of Seller" measure="1" displayFolder="" measureGroup="Cirrus_Tracker" count="0" hidden="1">
      <extLst>
        <ext xmlns:x15="http://schemas.microsoft.com/office/spreadsheetml/2010/11/main" uri="{B97F6D7D-B522-45F9-BDA1-12C45D357490}">
          <x15:cacheHierarchy aggregatedColumn="9"/>
        </ext>
      </extLst>
    </cacheHierarchy>
    <cacheHierarchy uniqueName="[Measures].[Count of Listing URL]" caption="Count of Listing URL" measure="1" displayFolder="" measureGroup="Cirrus_Tracker" count="0" hidden="1">
      <extLst>
        <ext xmlns:x15="http://schemas.microsoft.com/office/spreadsheetml/2010/11/main" uri="{B97F6D7D-B522-45F9-BDA1-12C45D357490}">
          <x15:cacheHierarchy aggregatedColumn="16"/>
        </ext>
      </extLst>
    </cacheHierarchy>
    <cacheHierarchy uniqueName="[Measures].[Distinct Count of Listing URL]" caption="Distinct Count of Listing URL" measure="1" displayFolder="" measureGroup="Cirrus_Tracker" count="0" hidden="1">
      <extLst>
        <ext xmlns:x15="http://schemas.microsoft.com/office/spreadsheetml/2010/11/main" uri="{B97F6D7D-B522-45F9-BDA1-12C45D357490}">
          <x15:cacheHierarchy aggregatedColumn="16"/>
        </ext>
      </extLst>
    </cacheHierarchy>
  </cacheHierarchies>
  <kpis count="0"/>
  <dimensions count="2">
    <dimension name="Cirrus_Tracker" uniqueName="[Cirrus_Tracker]" caption="Cirrus_Tracker"/>
    <dimension measure="1" name="Measures" uniqueName="[Measures]" caption="Measures"/>
  </dimensions>
  <measureGroups count="1">
    <measureGroup name="Cirrus_Tracker" caption="Cirrus_Tracker"/>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ogesh Rajput" refreshedDate="46222.535030787039" backgroundQuery="1" createdVersion="8" refreshedVersion="8" minRefreshableVersion="3" recordCount="0" supportSubquery="1" supportAdvancedDrill="1" xr:uid="{11AEC905-21B0-40C5-92A4-27AA39EB48FA}">
  <cacheSource type="external" connectionId="1"/>
  <cacheFields count="6">
    <cacheField name="[Cirrus_Tracker].[Infringement Type].[Infringement Type]" caption="Infringement Type" numFmtId="0" hierarchy="26" level="1">
      <sharedItems count="3">
        <s v="Counterfeit"/>
        <s v="Unauthorised use of Trademark"/>
        <s v="Unauthorized use of Copyright image"/>
      </sharedItems>
    </cacheField>
    <cacheField name="[Measures].[Count of Listing ID]" caption="Count of Listing ID" numFmtId="0" hierarchy="48" level="32767"/>
    <cacheField name="[Measures].[Distinct Count of Seller]" caption="Distinct Count of Seller" numFmtId="0" hierarchy="50" level="32767"/>
    <cacheField name="[Cirrus_Tracker].[Monitoring month].[Monitoring month]" caption="Monitoring month" numFmtId="0" hierarchy="1" level="1">
      <sharedItems containsSemiMixedTypes="0" containsNonDate="0" containsDate="1" containsString="0" minDate="2025-05-01T00:00:00" maxDate="2026-03-02T00:00:00" count="11">
        <d v="2025-05-01T00:00:00"/>
        <d v="2025-06-01T00:00:00"/>
        <d v="2025-07-01T00:00:00"/>
        <d v="2025-08-01T00:00:00"/>
        <d v="2025-09-01T00:00:00"/>
        <d v="2025-10-27T00:00:00"/>
        <d v="2025-11-01T00:00:00"/>
        <d v="2025-12-01T00:00:00"/>
        <d v="2026-01-01T00:00:00"/>
        <d v="2026-02-01T00:00:00"/>
        <d v="2026-03-01T00:00:00"/>
      </sharedItems>
    </cacheField>
    <cacheField name="[Cirrus_Tracker].[Monitoring month (Year)].[Monitoring month (Year)]" caption="Monitoring month (Year)" numFmtId="0" hierarchy="42" level="1">
      <sharedItems count="2">
        <s v="2025"/>
        <s v="2026"/>
      </sharedItems>
    </cacheField>
    <cacheField name="[Cirrus_Tracker].[Monitoring month (Month)].[Monitoring month (Month)]" caption="Monitoring month (Month)" numFmtId="0" hierarchy="41" level="1">
      <sharedItems count="11">
        <s v="May"/>
        <s v="Jun"/>
        <s v="Jul"/>
        <s v="Aug"/>
        <s v="Sep"/>
        <s v="Oct"/>
        <s v="Nov"/>
        <s v="Dec"/>
        <s v="Jan"/>
        <s v="Feb"/>
        <s v="Mar"/>
      </sharedItems>
    </cacheField>
  </cacheFields>
  <cacheHierarchies count="53">
    <cacheHierarchy uniqueName="[Cirrus_Tracker].[Listing ID]" caption="Listing ID" attribute="1" defaultMemberUniqueName="[Cirrus_Tracker].[Listing ID].[All]" allUniqueName="[Cirrus_Tracker].[Listing ID].[All]" dimensionUniqueName="[Cirrus_Tracker]" displayFolder="" count="0" memberValueDatatype="130" unbalanced="0"/>
    <cacheHierarchy uniqueName="[Cirrus_Tracker].[Monitoring month]" caption="Monitoring month" attribute="1" time="1" defaultMemberUniqueName="[Cirrus_Tracker].[Monitoring month].[All]" allUniqueName="[Cirrus_Tracker].[Monitoring month].[All]" dimensionUniqueName="[Cirrus_Tracker]" displayFolder="" count="2" memberValueDatatype="7" unbalanced="0">
      <fieldsUsage count="2">
        <fieldUsage x="-1"/>
        <fieldUsage x="3"/>
      </fieldsUsage>
    </cacheHierarchy>
    <cacheHierarchy uniqueName="[Cirrus_Tracker].[Year]" caption="Year" attribute="1" defaultMemberUniqueName="[Cirrus_Tracker].[Year].[All]" allUniqueName="[Cirrus_Tracker].[Year].[All]" dimensionUniqueName="[Cirrus_Tracker]" displayFolder="" count="2" memberValueDatatype="20" unbalanced="0"/>
    <cacheHierarchy uniqueName="[Cirrus_Tracker].[Platform country]" caption="Platform country" attribute="1" defaultMemberUniqueName="[Cirrus_Tracker].[Platform country].[All]" allUniqueName="[Cirrus_Tracker].[Platform country].[All]" dimensionUniqueName="[Cirrus_Tracker]" displayFolder="" count="0" memberValueDatatype="130" unbalanced="0"/>
    <cacheHierarchy uniqueName="[Cirrus_Tracker].[POS Type]" caption="POS Type" attribute="1" defaultMemberUniqueName="[Cirrus_Tracker].[POS Type].[All]" allUniqueName="[Cirrus_Tracker].[POS Type].[All]" dimensionUniqueName="[Cirrus_Tracker]" displayFolder="" count="2" memberValueDatatype="130" unbalanced="0"/>
    <cacheHierarchy uniqueName="[Cirrus_Tracker].[Platform group]" caption="Platform group" attribute="1" defaultMemberUniqueName="[Cirrus_Tracker].[Platform group].[All]" allUniqueName="[Cirrus_Tracker].[Platform group].[All]" dimensionUniqueName="[Cirrus_Tracker]" displayFolder="" count="0" memberValueDatatype="130" unbalanced="0"/>
    <cacheHierarchy uniqueName="[Cirrus_Tracker].[Platform]" caption="Platform" attribute="1" defaultMemberUniqueName="[Cirrus_Tracker].[Platform].[All]" allUniqueName="[Cirrus_Tracker].[Platform].[All]" dimensionUniqueName="[Cirrus_Tracker]" displayFolder="" count="0" memberValueDatatype="130" unbalanced="0"/>
    <cacheHierarchy uniqueName="[Cirrus_Tracker].[Seller Flagged]" caption="Seller Flagged" attribute="1" defaultMemberUniqueName="[Cirrus_Tracker].[Seller Flagged].[All]" allUniqueName="[Cirrus_Tracker].[Seller Flagged].[All]" dimensionUniqueName="[Cirrus_Tracker]" displayFolder="" count="0" memberValueDatatype="130" unbalanced="0"/>
    <cacheHierarchy uniqueName="[Cirrus_Tracker].[Repeat Infringer]" caption="Repeat Infringer" attribute="1" defaultMemberUniqueName="[Cirrus_Tracker].[Repeat Infringer].[All]" allUniqueName="[Cirrus_Tracker].[Repeat Infringer].[All]" dimensionUniqueName="[Cirrus_Tracker]" displayFolder="" count="0" memberValueDatatype="130" unbalanced="0"/>
    <cacheHierarchy uniqueName="[Cirrus_Tracker].[Seller]" caption="Seller" attribute="1" defaultMemberUniqueName="[Cirrus_Tracker].[Seller].[All]" allUniqueName="[Cirrus_Tracker].[Seller].[All]" dimensionUniqueName="[Cirrus_Tracker]" displayFolder="" count="0" memberValueDatatype="130" unbalanced="0"/>
    <cacheHierarchy uniqueName="[Cirrus_Tracker].[Store URL]" caption="Store URL" attribute="1" defaultMemberUniqueName="[Cirrus_Tracker].[Store URL].[All]" allUniqueName="[Cirrus_Tracker].[Store URL].[All]" dimensionUniqueName="[Cirrus_Tracker]" displayFolder="" count="0" memberValueDatatype="130" unbalanced="0"/>
    <cacheHierarchy uniqueName="[Cirrus_Tracker].[Seller Business Type]" caption="Seller Business Type" attribute="1" defaultMemberUniqueName="[Cirrus_Tracker].[Seller Business Type].[All]" allUniqueName="[Cirrus_Tracker].[Seller Business Type].[All]" dimensionUniqueName="[Cirrus_Tracker]" displayFolder="" count="0" memberValueDatatype="130" unbalanced="0"/>
    <cacheHierarchy uniqueName="[Cirrus_Tracker].[Seller address]" caption="Seller address" attribute="1" defaultMemberUniqueName="[Cirrus_Tracker].[Seller address].[All]" allUniqueName="[Cirrus_Tracker].[Seller address].[All]" dimensionUniqueName="[Cirrus_Tracker]" displayFolder="" count="0" memberValueDatatype="130" unbalanced="0"/>
    <cacheHierarchy uniqueName="[Cirrus_Tracker].[Seller contact info]" caption="Seller contact info" attribute="1" defaultMemberUniqueName="[Cirrus_Tracker].[Seller contact info].[All]" allUniqueName="[Cirrus_Tracker].[Seller contact info].[All]" dimensionUniqueName="[Cirrus_Tracker]" displayFolder="" count="0" memberValueDatatype="130" unbalanced="0"/>
    <cacheHierarchy uniqueName="[Cirrus_Tracker].[Product Code]" caption="Product Code" attribute="1" defaultMemberUniqueName="[Cirrus_Tracker].[Product Code].[All]" allUniqueName="[Cirrus_Tracker].[Product Code].[All]" dimensionUniqueName="[Cirrus_Tracker]" displayFolder="" count="0" memberValueDatatype="130" unbalanced="0"/>
    <cacheHierarchy uniqueName="[Cirrus_Tracker].[Packmarks]" caption="Packmarks" attribute="1" defaultMemberUniqueName="[Cirrus_Tracker].[Packmarks].[All]" allUniqueName="[Cirrus_Tracker].[Packmarks].[All]" dimensionUniqueName="[Cirrus_Tracker]" displayFolder="" count="0" memberValueDatatype="130" unbalanced="0"/>
    <cacheHierarchy uniqueName="[Cirrus_Tracker].[Listing URL]" caption="Listing URL" attribute="1" defaultMemberUniqueName="[Cirrus_Tracker].[Listing URL].[All]" allUniqueName="[Cirrus_Tracker].[Listing URL].[All]" dimensionUniqueName="[Cirrus_Tracker]" displayFolder="" count="0" memberValueDatatype="130" unbalanced="0"/>
    <cacheHierarchy uniqueName="[Cirrus_Tracker].[Item No.]" caption="Item No." attribute="1" defaultMemberUniqueName="[Cirrus_Tracker].[Item No.].[All]" allUniqueName="[Cirrus_Tracker].[Item No.].[All]" dimensionUniqueName="[Cirrus_Tracker]" displayFolder="" count="0" memberValueDatatype="130" unbalanced="0"/>
    <cacheHierarchy uniqueName="[Cirrus_Tracker].[Product title]" caption="Product title" attribute="1" defaultMemberUniqueName="[Cirrus_Tracker].[Product title].[All]" allUniqueName="[Cirrus_Tracker].[Product title].[All]" dimensionUniqueName="[Cirrus_Tracker]" displayFolder="" count="0" memberValueDatatype="130" unbalanced="0"/>
    <cacheHierarchy uniqueName="[Cirrus_Tracker].[Advertised Price]" caption="Advertised Price" attribute="1" defaultMemberUniqueName="[Cirrus_Tracker].[Advertised Price].[All]" allUniqueName="[Cirrus_Tracker].[Advertised Price].[All]" dimensionUniqueName="[Cirrus_Tracker]" displayFolder="" count="0" memberValueDatatype="130" unbalanced="0"/>
    <cacheHierarchy uniqueName="[Cirrus_Tracker].[Currency]" caption="Currency" attribute="1" defaultMemberUniqueName="[Cirrus_Tracker].[Currency].[All]" allUniqueName="[Cirrus_Tracker].[Currency].[All]" dimensionUniqueName="[Cirrus_Tracker]" displayFolder="" count="0" memberValueDatatype="130" unbalanced="0"/>
    <cacheHierarchy uniqueName="[Cirrus_Tracker].[Advertised Price  (USD)]" caption="Advertised Price  (USD)" attribute="1" defaultMemberUniqueName="[Cirrus_Tracker].[Advertised Price  (USD)].[All]" allUniqueName="[Cirrus_Tracker].[Advertised Price  (USD)].[All]" dimensionUniqueName="[Cirrus_Tracker]" displayFolder="" count="0" memberValueDatatype="130" unbalanced="0"/>
    <cacheHierarchy uniqueName="[Cirrus_Tracker].[Official Price (USD)]" caption="Official Price (USD)" attribute="1" defaultMemberUniqueName="[Cirrus_Tracker].[Official Price (USD)].[All]" allUniqueName="[Cirrus_Tracker].[Official Price (USD)].[All]" dimensionUniqueName="[Cirrus_Tracker]" displayFolder="" count="0" memberValueDatatype="130" unbalanced="0"/>
    <cacheHierarchy uniqueName="[Cirrus_Tracker].[Discount %]" caption="Discount %" attribute="1" defaultMemberUniqueName="[Cirrus_Tracker].[Discount %].[All]" allUniqueName="[Cirrus_Tracker].[Discount %].[All]" dimensionUniqueName="[Cirrus_Tracker]" displayFolder="" count="0" memberValueDatatype="5" unbalanced="0"/>
    <cacheHierarchy uniqueName="[Cirrus_Tracker].[Stock (Units)]" caption="Stock (Units)" attribute="1" defaultMemberUniqueName="[Cirrus_Tracker].[Stock (Units)].[All]" allUniqueName="[Cirrus_Tracker].[Stock (Units)].[All]" dimensionUniqueName="[Cirrus_Tracker]" displayFolder="" count="0" memberValueDatatype="130" unbalanced="0"/>
    <cacheHierarchy uniqueName="[Cirrus_Tracker].[ATX Review Result]" caption="ATX Review Result" attribute="1" defaultMemberUniqueName="[Cirrus_Tracker].[ATX Review Result].[All]" allUniqueName="[Cirrus_Tracker].[ATX Review Result].[All]" dimensionUniqueName="[Cirrus_Tracker]" displayFolder="" count="0" memberValueDatatype="130" unbalanced="0"/>
    <cacheHierarchy uniqueName="[Cirrus_Tracker].[Infringement Type]" caption="Infringement Type" attribute="1" defaultMemberUniqueName="[Cirrus_Tracker].[Infringement Type].[All]" allUniqueName="[Cirrus_Tracker].[Infringement Type].[All]" dimensionUniqueName="[Cirrus_Tracker]" displayFolder="" count="2" memberValueDatatype="130" unbalanced="0">
      <fieldsUsage count="2">
        <fieldUsage x="-1"/>
        <fieldUsage x="0"/>
      </fieldsUsage>
    </cacheHierarchy>
    <cacheHierarchy uniqueName="[Cirrus_Tracker].[Risk indicator/Remarks]" caption="Risk indicator/Remarks" attribute="1" defaultMemberUniqueName="[Cirrus_Tracker].[Risk indicator/Remarks].[All]" allUniqueName="[Cirrus_Tracker].[Risk indicator/Remarks].[All]" dimensionUniqueName="[Cirrus_Tracker]" displayFolder="" count="0" memberValueDatatype="130" unbalanced="0"/>
    <cacheHierarchy uniqueName="[Cirrus_Tracker].[Complaint Draft/Evidence (PPT Slide Reference)]" caption="Complaint Draft/Evidence (PPT Slide Reference)" attribute="1" defaultMemberUniqueName="[Cirrus_Tracker].[Complaint Draft/Evidence (PPT Slide Reference)].[All]" allUniqueName="[Cirrus_Tracker].[Complaint Draft/Evidence (PPT Slide Reference)].[All]" dimensionUniqueName="[Cirrus_Tracker]" displayFolder="" count="0" memberValueDatatype="130" unbalanced="0"/>
    <cacheHierarchy uniqueName="[Cirrus_Tracker].[Feedback from ABC Company team]" caption="Feedback from ABC Company team" attribute="1" defaultMemberUniqueName="[Cirrus_Tracker].[Feedback from ABC Company team].[All]" allUniqueName="[Cirrus_Tracker].[Feedback from ABC Company team].[All]" dimensionUniqueName="[Cirrus_Tracker]" displayFolder="" count="0" memberValueDatatype="130" unbalanced="0"/>
    <cacheHierarchy uniqueName="[Cirrus_Tracker].[Test buy conducted (Yes/No)]" caption="Test buy conducted (Yes/No)" attribute="1" defaultMemberUniqueName="[Cirrus_Tracker].[Test buy conducted (Yes/No)].[All]" allUniqueName="[Cirrus_Tracker].[Test buy conducted (Yes/No)].[All]" dimensionUniqueName="[Cirrus_Tracker]" displayFolder="" count="0" memberValueDatatype="130" unbalanced="0"/>
    <cacheHierarchy uniqueName="[Cirrus_Tracker].[Test buy date]" caption="Test buy date" attribute="1" time="1" defaultMemberUniqueName="[Cirrus_Tracker].[Test buy date].[All]" allUniqueName="[Cirrus_Tracker].[Test buy date].[All]" dimensionUniqueName="[Cirrus_Tracker]" displayFolder="" count="0" memberValueDatatype="7" unbalanced="0"/>
    <cacheHierarchy uniqueName="[Cirrus_Tracker].[Test Buy Status]" caption="Test Buy Status" attribute="1" defaultMemberUniqueName="[Cirrus_Tracker].[Test Buy Status].[All]" allUniqueName="[Cirrus_Tracker].[Test Buy Status].[All]" dimensionUniqueName="[Cirrus_Tracker]" displayFolder="" count="0" memberValueDatatype="130" unbalanced="0"/>
    <cacheHierarchy uniqueName="[Cirrus_Tracker].[Test buy result]" caption="Test buy result" attribute="1" defaultMemberUniqueName="[Cirrus_Tracker].[Test buy result].[All]" allUniqueName="[Cirrus_Tracker].[Test buy result].[All]" dimensionUniqueName="[Cirrus_Tracker]" displayFolder="" count="0" memberValueDatatype="130" unbalanced="0"/>
    <cacheHierarchy uniqueName="[Cirrus_Tracker].[Complaint Status]" caption="Complaint Status" attribute="1" defaultMemberUniqueName="[Cirrus_Tracker].[Complaint Status].[All]" allUniqueName="[Cirrus_Tracker].[Complaint Status].[All]" dimensionUniqueName="[Cirrus_Tracker]" displayFolder="" count="2" memberValueDatatype="130" unbalanced="0"/>
    <cacheHierarchy uniqueName="[Cirrus_Tracker].[Not Filed Reason]" caption="Not Filed Reason" attribute="1" defaultMemberUniqueName="[Cirrus_Tracker].[Not Filed Reason].[All]" allUniqueName="[Cirrus_Tracker].[Not Filed Reason].[All]" dimensionUniqueName="[Cirrus_Tracker]" displayFolder="" count="0" memberValueDatatype="130" unbalanced="0"/>
    <cacheHierarchy uniqueName="[Cirrus_Tracker].[Complaint Date]" caption="Complaint Date" attribute="1" time="1" defaultMemberUniqueName="[Cirrus_Tracker].[Complaint Date].[All]" allUniqueName="[Cirrus_Tracker].[Complaint Date].[All]" dimensionUniqueName="[Cirrus_Tracker]" displayFolder="" count="0" memberValueDatatype="7" unbalanced="0"/>
    <cacheHierarchy uniqueName="[Cirrus_Tracker].[Complaint ID]" caption="Complaint ID" attribute="1" defaultMemberUniqueName="[Cirrus_Tracker].[Complaint ID].[All]" allUniqueName="[Cirrus_Tracker].[Complaint ID].[All]" dimensionUniqueName="[Cirrus_Tracker]" displayFolder="" count="0" memberValueDatatype="130" unbalanced="0"/>
    <cacheHierarchy uniqueName="[Cirrus_Tracker].[Takedown Status]" caption="Takedown Status" attribute="1" defaultMemberUniqueName="[Cirrus_Tracker].[Takedown Status].[All]" allUniqueName="[Cirrus_Tracker].[Takedown Status].[All]" dimensionUniqueName="[Cirrus_Tracker]" displayFolder="" count="0" memberValueDatatype="130" unbalanced="0"/>
    <cacheHierarchy uniqueName="[Cirrus_Tracker].[Takedown Date]" caption="Takedown Date" attribute="1" time="1" defaultMemberUniqueName="[Cirrus_Tracker].[Takedown Date].[All]" allUniqueName="[Cirrus_Tracker].[Takedown Date].[All]" dimensionUniqueName="[Cirrus_Tracker]" displayFolder="" count="0" memberValueDatatype="7" unbalanced="0"/>
    <cacheHierarchy uniqueName="[Cirrus_Tracker].[Next steps]" caption="Next steps" attribute="1" defaultMemberUniqueName="[Cirrus_Tracker].[Next steps].[All]" allUniqueName="[Cirrus_Tracker].[Next steps].[All]" dimensionUniqueName="[Cirrus_Tracker]" displayFolder="" count="0" memberValueDatatype="130" unbalanced="0"/>
    <cacheHierarchy uniqueName="[Cirrus_Tracker].[Monitoring month (Month)]" caption="Monitoring month (Month)" attribute="1" defaultMemberUniqueName="[Cirrus_Tracker].[Monitoring month (Month)].[All]" allUniqueName="[Cirrus_Tracker].[Monitoring month (Month)].[All]" dimensionUniqueName="[Cirrus_Tracker]" displayFolder="" count="2" memberValueDatatype="130" unbalanced="0">
      <fieldsUsage count="2">
        <fieldUsage x="-1"/>
        <fieldUsage x="5"/>
      </fieldsUsage>
    </cacheHierarchy>
    <cacheHierarchy uniqueName="[Cirrus_Tracker].[Monitoring month (Year)]" caption="Monitoring month (Year)" attribute="1" defaultMemberUniqueName="[Cirrus_Tracker].[Monitoring month (Year)].[All]" allUniqueName="[Cirrus_Tracker].[Monitoring month (Year)].[All]" dimensionUniqueName="[Cirrus_Tracker]" displayFolder="" count="2" memberValueDatatype="130" unbalanced="0">
      <fieldsUsage count="2">
        <fieldUsage x="-1"/>
        <fieldUsage x="4"/>
      </fieldsUsage>
    </cacheHierarchy>
    <cacheHierarchy uniqueName="[Cirrus_Tracker].[Monitoring month (Quarter)]" caption="Monitoring month (Quarter)" attribute="1" defaultMemberUniqueName="[Cirrus_Tracker].[Monitoring month (Quarter)].[All]" allUniqueName="[Cirrus_Tracker].[Monitoring month (Quarter)].[All]" dimensionUniqueName="[Cirrus_Tracker]" displayFolder="" count="0" memberValueDatatype="130" unbalanced="0"/>
    <cacheHierarchy uniqueName="[Cirrus_Tracker].[ATX remark on next steps]" caption="ATX remark on next steps" attribute="1" defaultMemberUniqueName="[Cirrus_Tracker].[ATX remark on next steps].[All]" allUniqueName="[Cirrus_Tracker].[ATX remark on next steps].[All]" dimensionUniqueName="[Cirrus_Tracker]" displayFolder="" count="0" memberValueDatatype="130" unbalanced="0"/>
    <cacheHierarchy uniqueName="[Cirrus_Tracker].[Monitoring month (Month Index)]" caption="Monitoring month (Month Index)" attribute="1" defaultMemberUniqueName="[Cirrus_Tracker].[Monitoring month (Month Index)].[All]" allUniqueName="[Cirrus_Tracker].[Monitoring month (Month Index)].[All]" dimensionUniqueName="[Cirrus_Tracker]" displayFolder="" count="0" memberValueDatatype="20" unbalanced="0" hidden="1"/>
    <cacheHierarchy uniqueName="[Measures].[__XL_Count Cirrus_Tracker]" caption="__XL_Count Cirrus_Tracker" measure="1" displayFolder="" measureGroup="Cirrus_Tracker" count="0" hidden="1"/>
    <cacheHierarchy uniqueName="[Measures].[__No measures defined]" caption="__No measures defined" measure="1" displayFolder="" count="0" hidden="1"/>
    <cacheHierarchy uniqueName="[Measures].[Count of Listing ID]" caption="Count of Listing ID" measure="1" displayFolder="" measureGroup="Cirrus_Tracker" count="0" oneField="1" hidden="1">
      <fieldsUsage count="1">
        <fieldUsage x="1"/>
      </fieldsUsage>
      <extLst>
        <ext xmlns:x15="http://schemas.microsoft.com/office/spreadsheetml/2010/11/main" uri="{B97F6D7D-B522-45F9-BDA1-12C45D357490}">
          <x15:cacheHierarchy aggregatedColumn="0"/>
        </ext>
      </extLst>
    </cacheHierarchy>
    <cacheHierarchy uniqueName="[Measures].[Count of Seller]" caption="Count of Seller" measure="1" displayFolder="" measureGroup="Cirrus_Tracker" count="0" hidden="1">
      <extLst>
        <ext xmlns:x15="http://schemas.microsoft.com/office/spreadsheetml/2010/11/main" uri="{B97F6D7D-B522-45F9-BDA1-12C45D357490}">
          <x15:cacheHierarchy aggregatedColumn="9"/>
        </ext>
      </extLst>
    </cacheHierarchy>
    <cacheHierarchy uniqueName="[Measures].[Distinct Count of Seller]" caption="Distinct Count of Seller" measure="1" displayFolder="" measureGroup="Cirrus_Tracker" count="0" oneField="1" hidden="1">
      <fieldsUsage count="1">
        <fieldUsage x="2"/>
      </fieldsUsage>
      <extLst>
        <ext xmlns:x15="http://schemas.microsoft.com/office/spreadsheetml/2010/11/main" uri="{B97F6D7D-B522-45F9-BDA1-12C45D357490}">
          <x15:cacheHierarchy aggregatedColumn="9"/>
        </ext>
      </extLst>
    </cacheHierarchy>
    <cacheHierarchy uniqueName="[Measures].[Count of Listing URL]" caption="Count of Listing URL" measure="1" displayFolder="" measureGroup="Cirrus_Tracker" count="0" hidden="1">
      <extLst>
        <ext xmlns:x15="http://schemas.microsoft.com/office/spreadsheetml/2010/11/main" uri="{B97F6D7D-B522-45F9-BDA1-12C45D357490}">
          <x15:cacheHierarchy aggregatedColumn="16"/>
        </ext>
      </extLst>
    </cacheHierarchy>
    <cacheHierarchy uniqueName="[Measures].[Distinct Count of Listing URL]" caption="Distinct Count of Listing URL" measure="1" displayFolder="" measureGroup="Cirrus_Tracker" count="0" hidden="1">
      <extLst>
        <ext xmlns:x15="http://schemas.microsoft.com/office/spreadsheetml/2010/11/main" uri="{B97F6D7D-B522-45F9-BDA1-12C45D357490}">
          <x15:cacheHierarchy aggregatedColumn="16"/>
        </ext>
      </extLst>
    </cacheHierarchy>
  </cacheHierarchies>
  <kpis count="0"/>
  <dimensions count="2">
    <dimension name="Cirrus_Tracker" uniqueName="[Cirrus_Tracker]" caption="Cirrus_Tracker"/>
    <dimension measure="1" name="Measures" uniqueName="[Measures]" caption="Measures"/>
  </dimensions>
  <measureGroups count="1">
    <measureGroup name="Cirrus_Tracker" caption="Cirrus_Tracker"/>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ogesh Rajput" refreshedDate="46222.535031134263" backgroundQuery="1" createdVersion="8" refreshedVersion="8" minRefreshableVersion="3" recordCount="0" supportSubquery="1" supportAdvancedDrill="1" xr:uid="{029F6634-DABF-493F-B0CD-90FF440C06BD}">
  <cacheSource type="external" connectionId="1"/>
  <cacheFields count="5">
    <cacheField name="[Measures].[Count of Listing ID]" caption="Count of Listing ID" numFmtId="0" hierarchy="48" level="32767"/>
    <cacheField name="[Measures].[Distinct Count of Seller]" caption="Distinct Count of Seller" numFmtId="0" hierarchy="50" level="32767"/>
    <cacheField name="[Cirrus_Tracker].[Complaint Status].[Complaint Status]" caption="Complaint Status" numFmtId="0" hierarchy="34" level="1">
      <sharedItems count="2">
        <s v="Filed"/>
        <s v="Not Filed"/>
      </sharedItems>
    </cacheField>
    <cacheField name="[Cirrus_Tracker].[Monitoring month].[Monitoring month]" caption="Monitoring month" numFmtId="0" hierarchy="1" level="1">
      <sharedItems containsSemiMixedTypes="0" containsNonDate="0" containsString="0"/>
    </cacheField>
    <cacheField name="[Cirrus_Tracker].[Monitoring month (Month)].[Monitoring month (Month)]" caption="Monitoring month (Month)" numFmtId="0" hierarchy="41" level="1">
      <sharedItems containsSemiMixedTypes="0" containsNonDate="0" containsString="0"/>
    </cacheField>
  </cacheFields>
  <cacheHierarchies count="53">
    <cacheHierarchy uniqueName="[Cirrus_Tracker].[Listing ID]" caption="Listing ID" attribute="1" defaultMemberUniqueName="[Cirrus_Tracker].[Listing ID].[All]" allUniqueName="[Cirrus_Tracker].[Listing ID].[All]" dimensionUniqueName="[Cirrus_Tracker]" displayFolder="" count="0" memberValueDatatype="130" unbalanced="0"/>
    <cacheHierarchy uniqueName="[Cirrus_Tracker].[Monitoring month]" caption="Monitoring month" attribute="1" time="1" defaultMemberUniqueName="[Cirrus_Tracker].[Monitoring month].[All]" allUniqueName="[Cirrus_Tracker].[Monitoring month].[All]" dimensionUniqueName="[Cirrus_Tracker]" displayFolder="" count="2" memberValueDatatype="7" unbalanced="0">
      <fieldsUsage count="2">
        <fieldUsage x="-1"/>
        <fieldUsage x="3"/>
      </fieldsUsage>
    </cacheHierarchy>
    <cacheHierarchy uniqueName="[Cirrus_Tracker].[Year]" caption="Year" attribute="1" defaultMemberUniqueName="[Cirrus_Tracker].[Year].[All]" allUniqueName="[Cirrus_Tracker].[Year].[All]" dimensionUniqueName="[Cirrus_Tracker]" displayFolder="" count="2" memberValueDatatype="20" unbalanced="0"/>
    <cacheHierarchy uniqueName="[Cirrus_Tracker].[Platform country]" caption="Platform country" attribute="1" defaultMemberUniqueName="[Cirrus_Tracker].[Platform country].[All]" allUniqueName="[Cirrus_Tracker].[Platform country].[All]" dimensionUniqueName="[Cirrus_Tracker]" displayFolder="" count="0" memberValueDatatype="130" unbalanced="0"/>
    <cacheHierarchy uniqueName="[Cirrus_Tracker].[POS Type]" caption="POS Type" attribute="1" defaultMemberUniqueName="[Cirrus_Tracker].[POS Type].[All]" allUniqueName="[Cirrus_Tracker].[POS Type].[All]" dimensionUniqueName="[Cirrus_Tracker]" displayFolder="" count="2" memberValueDatatype="130" unbalanced="0"/>
    <cacheHierarchy uniqueName="[Cirrus_Tracker].[Platform group]" caption="Platform group" attribute="1" defaultMemberUniqueName="[Cirrus_Tracker].[Platform group].[All]" allUniqueName="[Cirrus_Tracker].[Platform group].[All]" dimensionUniqueName="[Cirrus_Tracker]" displayFolder="" count="0" memberValueDatatype="130" unbalanced="0"/>
    <cacheHierarchy uniqueName="[Cirrus_Tracker].[Platform]" caption="Platform" attribute="1" defaultMemberUniqueName="[Cirrus_Tracker].[Platform].[All]" allUniqueName="[Cirrus_Tracker].[Platform].[All]" dimensionUniqueName="[Cirrus_Tracker]" displayFolder="" count="0" memberValueDatatype="130" unbalanced="0"/>
    <cacheHierarchy uniqueName="[Cirrus_Tracker].[Seller Flagged]" caption="Seller Flagged" attribute="1" defaultMemberUniqueName="[Cirrus_Tracker].[Seller Flagged].[All]" allUniqueName="[Cirrus_Tracker].[Seller Flagged].[All]" dimensionUniqueName="[Cirrus_Tracker]" displayFolder="" count="0" memberValueDatatype="130" unbalanced="0"/>
    <cacheHierarchy uniqueName="[Cirrus_Tracker].[Repeat Infringer]" caption="Repeat Infringer" attribute="1" defaultMemberUniqueName="[Cirrus_Tracker].[Repeat Infringer].[All]" allUniqueName="[Cirrus_Tracker].[Repeat Infringer].[All]" dimensionUniqueName="[Cirrus_Tracker]" displayFolder="" count="0" memberValueDatatype="130" unbalanced="0"/>
    <cacheHierarchy uniqueName="[Cirrus_Tracker].[Seller]" caption="Seller" attribute="1" defaultMemberUniqueName="[Cirrus_Tracker].[Seller].[All]" allUniqueName="[Cirrus_Tracker].[Seller].[All]" dimensionUniqueName="[Cirrus_Tracker]" displayFolder="" count="0" memberValueDatatype="130" unbalanced="0"/>
    <cacheHierarchy uniqueName="[Cirrus_Tracker].[Store URL]" caption="Store URL" attribute="1" defaultMemberUniqueName="[Cirrus_Tracker].[Store URL].[All]" allUniqueName="[Cirrus_Tracker].[Store URL].[All]" dimensionUniqueName="[Cirrus_Tracker]" displayFolder="" count="0" memberValueDatatype="130" unbalanced="0"/>
    <cacheHierarchy uniqueName="[Cirrus_Tracker].[Seller Business Type]" caption="Seller Business Type" attribute="1" defaultMemberUniqueName="[Cirrus_Tracker].[Seller Business Type].[All]" allUniqueName="[Cirrus_Tracker].[Seller Business Type].[All]" dimensionUniqueName="[Cirrus_Tracker]" displayFolder="" count="0" memberValueDatatype="130" unbalanced="0"/>
    <cacheHierarchy uniqueName="[Cirrus_Tracker].[Seller address]" caption="Seller address" attribute="1" defaultMemberUniqueName="[Cirrus_Tracker].[Seller address].[All]" allUniqueName="[Cirrus_Tracker].[Seller address].[All]" dimensionUniqueName="[Cirrus_Tracker]" displayFolder="" count="0" memberValueDatatype="130" unbalanced="0"/>
    <cacheHierarchy uniqueName="[Cirrus_Tracker].[Seller contact info]" caption="Seller contact info" attribute="1" defaultMemberUniqueName="[Cirrus_Tracker].[Seller contact info].[All]" allUniqueName="[Cirrus_Tracker].[Seller contact info].[All]" dimensionUniqueName="[Cirrus_Tracker]" displayFolder="" count="0" memberValueDatatype="130" unbalanced="0"/>
    <cacheHierarchy uniqueName="[Cirrus_Tracker].[Product Code]" caption="Product Code" attribute="1" defaultMemberUniqueName="[Cirrus_Tracker].[Product Code].[All]" allUniqueName="[Cirrus_Tracker].[Product Code].[All]" dimensionUniqueName="[Cirrus_Tracker]" displayFolder="" count="0" memberValueDatatype="130" unbalanced="0"/>
    <cacheHierarchy uniqueName="[Cirrus_Tracker].[Packmarks]" caption="Packmarks" attribute="1" defaultMemberUniqueName="[Cirrus_Tracker].[Packmarks].[All]" allUniqueName="[Cirrus_Tracker].[Packmarks].[All]" dimensionUniqueName="[Cirrus_Tracker]" displayFolder="" count="0" memberValueDatatype="130" unbalanced="0"/>
    <cacheHierarchy uniqueName="[Cirrus_Tracker].[Listing URL]" caption="Listing URL" attribute="1" defaultMemberUniqueName="[Cirrus_Tracker].[Listing URL].[All]" allUniqueName="[Cirrus_Tracker].[Listing URL].[All]" dimensionUniqueName="[Cirrus_Tracker]" displayFolder="" count="0" memberValueDatatype="130" unbalanced="0"/>
    <cacheHierarchy uniqueName="[Cirrus_Tracker].[Item No.]" caption="Item No." attribute="1" defaultMemberUniqueName="[Cirrus_Tracker].[Item No.].[All]" allUniqueName="[Cirrus_Tracker].[Item No.].[All]" dimensionUniqueName="[Cirrus_Tracker]" displayFolder="" count="0" memberValueDatatype="130" unbalanced="0"/>
    <cacheHierarchy uniqueName="[Cirrus_Tracker].[Product title]" caption="Product title" attribute="1" defaultMemberUniqueName="[Cirrus_Tracker].[Product title].[All]" allUniqueName="[Cirrus_Tracker].[Product title].[All]" dimensionUniqueName="[Cirrus_Tracker]" displayFolder="" count="0" memberValueDatatype="130" unbalanced="0"/>
    <cacheHierarchy uniqueName="[Cirrus_Tracker].[Advertised Price]" caption="Advertised Price" attribute="1" defaultMemberUniqueName="[Cirrus_Tracker].[Advertised Price].[All]" allUniqueName="[Cirrus_Tracker].[Advertised Price].[All]" dimensionUniqueName="[Cirrus_Tracker]" displayFolder="" count="0" memberValueDatatype="130" unbalanced="0"/>
    <cacheHierarchy uniqueName="[Cirrus_Tracker].[Currency]" caption="Currency" attribute="1" defaultMemberUniqueName="[Cirrus_Tracker].[Currency].[All]" allUniqueName="[Cirrus_Tracker].[Currency].[All]" dimensionUniqueName="[Cirrus_Tracker]" displayFolder="" count="0" memberValueDatatype="130" unbalanced="0"/>
    <cacheHierarchy uniqueName="[Cirrus_Tracker].[Advertised Price  (USD)]" caption="Advertised Price  (USD)" attribute="1" defaultMemberUniqueName="[Cirrus_Tracker].[Advertised Price  (USD)].[All]" allUniqueName="[Cirrus_Tracker].[Advertised Price  (USD)].[All]" dimensionUniqueName="[Cirrus_Tracker]" displayFolder="" count="0" memberValueDatatype="130" unbalanced="0"/>
    <cacheHierarchy uniqueName="[Cirrus_Tracker].[Official Price (USD)]" caption="Official Price (USD)" attribute="1" defaultMemberUniqueName="[Cirrus_Tracker].[Official Price (USD)].[All]" allUniqueName="[Cirrus_Tracker].[Official Price (USD)].[All]" dimensionUniqueName="[Cirrus_Tracker]" displayFolder="" count="0" memberValueDatatype="130" unbalanced="0"/>
    <cacheHierarchy uniqueName="[Cirrus_Tracker].[Discount %]" caption="Discount %" attribute="1" defaultMemberUniqueName="[Cirrus_Tracker].[Discount %].[All]" allUniqueName="[Cirrus_Tracker].[Discount %].[All]" dimensionUniqueName="[Cirrus_Tracker]" displayFolder="" count="0" memberValueDatatype="5" unbalanced="0"/>
    <cacheHierarchy uniqueName="[Cirrus_Tracker].[Stock (Units)]" caption="Stock (Units)" attribute="1" defaultMemberUniqueName="[Cirrus_Tracker].[Stock (Units)].[All]" allUniqueName="[Cirrus_Tracker].[Stock (Units)].[All]" dimensionUniqueName="[Cirrus_Tracker]" displayFolder="" count="0" memberValueDatatype="130" unbalanced="0"/>
    <cacheHierarchy uniqueName="[Cirrus_Tracker].[ATX Review Result]" caption="ATX Review Result" attribute="1" defaultMemberUniqueName="[Cirrus_Tracker].[ATX Review Result].[All]" allUniqueName="[Cirrus_Tracker].[ATX Review Result].[All]" dimensionUniqueName="[Cirrus_Tracker]" displayFolder="" count="0" memberValueDatatype="130" unbalanced="0"/>
    <cacheHierarchy uniqueName="[Cirrus_Tracker].[Infringement Type]" caption="Infringement Type" attribute="1" defaultMemberUniqueName="[Cirrus_Tracker].[Infringement Type].[All]" allUniqueName="[Cirrus_Tracker].[Infringement Type].[All]" dimensionUniqueName="[Cirrus_Tracker]" displayFolder="" count="2" memberValueDatatype="130" unbalanced="0"/>
    <cacheHierarchy uniqueName="[Cirrus_Tracker].[Risk indicator/Remarks]" caption="Risk indicator/Remarks" attribute="1" defaultMemberUniqueName="[Cirrus_Tracker].[Risk indicator/Remarks].[All]" allUniqueName="[Cirrus_Tracker].[Risk indicator/Remarks].[All]" dimensionUniqueName="[Cirrus_Tracker]" displayFolder="" count="0" memberValueDatatype="130" unbalanced="0"/>
    <cacheHierarchy uniqueName="[Cirrus_Tracker].[Complaint Draft/Evidence (PPT Slide Reference)]" caption="Complaint Draft/Evidence (PPT Slide Reference)" attribute="1" defaultMemberUniqueName="[Cirrus_Tracker].[Complaint Draft/Evidence (PPT Slide Reference)].[All]" allUniqueName="[Cirrus_Tracker].[Complaint Draft/Evidence (PPT Slide Reference)].[All]" dimensionUniqueName="[Cirrus_Tracker]" displayFolder="" count="0" memberValueDatatype="130" unbalanced="0"/>
    <cacheHierarchy uniqueName="[Cirrus_Tracker].[Feedback from ABC Company team]" caption="Feedback from ABC Company team" attribute="1" defaultMemberUniqueName="[Cirrus_Tracker].[Feedback from ABC Company team].[All]" allUniqueName="[Cirrus_Tracker].[Feedback from ABC Company team].[All]" dimensionUniqueName="[Cirrus_Tracker]" displayFolder="" count="0" memberValueDatatype="130" unbalanced="0"/>
    <cacheHierarchy uniqueName="[Cirrus_Tracker].[Test buy conducted (Yes/No)]" caption="Test buy conducted (Yes/No)" attribute="1" defaultMemberUniqueName="[Cirrus_Tracker].[Test buy conducted (Yes/No)].[All]" allUniqueName="[Cirrus_Tracker].[Test buy conducted (Yes/No)].[All]" dimensionUniqueName="[Cirrus_Tracker]" displayFolder="" count="0" memberValueDatatype="130" unbalanced="0"/>
    <cacheHierarchy uniqueName="[Cirrus_Tracker].[Test buy date]" caption="Test buy date" attribute="1" time="1" defaultMemberUniqueName="[Cirrus_Tracker].[Test buy date].[All]" allUniqueName="[Cirrus_Tracker].[Test buy date].[All]" dimensionUniqueName="[Cirrus_Tracker]" displayFolder="" count="0" memberValueDatatype="7" unbalanced="0"/>
    <cacheHierarchy uniqueName="[Cirrus_Tracker].[Test Buy Status]" caption="Test Buy Status" attribute="1" defaultMemberUniqueName="[Cirrus_Tracker].[Test Buy Status].[All]" allUniqueName="[Cirrus_Tracker].[Test Buy Status].[All]" dimensionUniqueName="[Cirrus_Tracker]" displayFolder="" count="0" memberValueDatatype="130" unbalanced="0"/>
    <cacheHierarchy uniqueName="[Cirrus_Tracker].[Test buy result]" caption="Test buy result" attribute="1" defaultMemberUniqueName="[Cirrus_Tracker].[Test buy result].[All]" allUniqueName="[Cirrus_Tracker].[Test buy result].[All]" dimensionUniqueName="[Cirrus_Tracker]" displayFolder="" count="0" memberValueDatatype="130" unbalanced="0"/>
    <cacheHierarchy uniqueName="[Cirrus_Tracker].[Complaint Status]" caption="Complaint Status" attribute="1" defaultMemberUniqueName="[Cirrus_Tracker].[Complaint Status].[All]" allUniqueName="[Cirrus_Tracker].[Complaint Status].[All]" dimensionUniqueName="[Cirrus_Tracker]" displayFolder="" count="2" memberValueDatatype="130" unbalanced="0">
      <fieldsUsage count="2">
        <fieldUsage x="-1"/>
        <fieldUsage x="2"/>
      </fieldsUsage>
    </cacheHierarchy>
    <cacheHierarchy uniqueName="[Cirrus_Tracker].[Not Filed Reason]" caption="Not Filed Reason" attribute="1" defaultMemberUniqueName="[Cirrus_Tracker].[Not Filed Reason].[All]" allUniqueName="[Cirrus_Tracker].[Not Filed Reason].[All]" dimensionUniqueName="[Cirrus_Tracker]" displayFolder="" count="0" memberValueDatatype="130" unbalanced="0"/>
    <cacheHierarchy uniqueName="[Cirrus_Tracker].[Complaint Date]" caption="Complaint Date" attribute="1" time="1" defaultMemberUniqueName="[Cirrus_Tracker].[Complaint Date].[All]" allUniqueName="[Cirrus_Tracker].[Complaint Date].[All]" dimensionUniqueName="[Cirrus_Tracker]" displayFolder="" count="0" memberValueDatatype="7" unbalanced="0"/>
    <cacheHierarchy uniqueName="[Cirrus_Tracker].[Complaint ID]" caption="Complaint ID" attribute="1" defaultMemberUniqueName="[Cirrus_Tracker].[Complaint ID].[All]" allUniqueName="[Cirrus_Tracker].[Complaint ID].[All]" dimensionUniqueName="[Cirrus_Tracker]" displayFolder="" count="0" memberValueDatatype="130" unbalanced="0"/>
    <cacheHierarchy uniqueName="[Cirrus_Tracker].[Takedown Status]" caption="Takedown Status" attribute="1" defaultMemberUniqueName="[Cirrus_Tracker].[Takedown Status].[All]" allUniqueName="[Cirrus_Tracker].[Takedown Status].[All]" dimensionUniqueName="[Cirrus_Tracker]" displayFolder="" count="0" memberValueDatatype="130" unbalanced="0"/>
    <cacheHierarchy uniqueName="[Cirrus_Tracker].[Takedown Date]" caption="Takedown Date" attribute="1" time="1" defaultMemberUniqueName="[Cirrus_Tracker].[Takedown Date].[All]" allUniqueName="[Cirrus_Tracker].[Takedown Date].[All]" dimensionUniqueName="[Cirrus_Tracker]" displayFolder="" count="0" memberValueDatatype="7" unbalanced="0"/>
    <cacheHierarchy uniqueName="[Cirrus_Tracker].[Next steps]" caption="Next steps" attribute="1" defaultMemberUniqueName="[Cirrus_Tracker].[Next steps].[All]" allUniqueName="[Cirrus_Tracker].[Next steps].[All]" dimensionUniqueName="[Cirrus_Tracker]" displayFolder="" count="0" memberValueDatatype="130" unbalanced="0"/>
    <cacheHierarchy uniqueName="[Cirrus_Tracker].[Monitoring month (Month)]" caption="Monitoring month (Month)" attribute="1" defaultMemberUniqueName="[Cirrus_Tracker].[Monitoring month (Month)].[All]" allUniqueName="[Cirrus_Tracker].[Monitoring month (Month)].[All]" dimensionUniqueName="[Cirrus_Tracker]" displayFolder="" count="2" memberValueDatatype="130" unbalanced="0">
      <fieldsUsage count="2">
        <fieldUsage x="-1"/>
        <fieldUsage x="4"/>
      </fieldsUsage>
    </cacheHierarchy>
    <cacheHierarchy uniqueName="[Cirrus_Tracker].[Monitoring month (Year)]" caption="Monitoring month (Year)" attribute="1" defaultMemberUniqueName="[Cirrus_Tracker].[Monitoring month (Year)].[All]" allUniqueName="[Cirrus_Tracker].[Monitoring month (Year)].[All]" dimensionUniqueName="[Cirrus_Tracker]" displayFolder="" count="0" memberValueDatatype="130" unbalanced="0"/>
    <cacheHierarchy uniqueName="[Cirrus_Tracker].[Monitoring month (Quarter)]" caption="Monitoring month (Quarter)" attribute="1" defaultMemberUniqueName="[Cirrus_Tracker].[Monitoring month (Quarter)].[All]" allUniqueName="[Cirrus_Tracker].[Monitoring month (Quarter)].[All]" dimensionUniqueName="[Cirrus_Tracker]" displayFolder="" count="0" memberValueDatatype="130" unbalanced="0"/>
    <cacheHierarchy uniqueName="[Cirrus_Tracker].[ATX remark on next steps]" caption="ATX remark on next steps" attribute="1" defaultMemberUniqueName="[Cirrus_Tracker].[ATX remark on next steps].[All]" allUniqueName="[Cirrus_Tracker].[ATX remark on next steps].[All]" dimensionUniqueName="[Cirrus_Tracker]" displayFolder="" count="0" memberValueDatatype="130" unbalanced="0"/>
    <cacheHierarchy uniqueName="[Cirrus_Tracker].[Monitoring month (Month Index)]" caption="Monitoring month (Month Index)" attribute="1" defaultMemberUniqueName="[Cirrus_Tracker].[Monitoring month (Month Index)].[All]" allUniqueName="[Cirrus_Tracker].[Monitoring month (Month Index)].[All]" dimensionUniqueName="[Cirrus_Tracker]" displayFolder="" count="0" memberValueDatatype="20" unbalanced="0" hidden="1"/>
    <cacheHierarchy uniqueName="[Measures].[__XL_Count Cirrus_Tracker]" caption="__XL_Count Cirrus_Tracker" measure="1" displayFolder="" measureGroup="Cirrus_Tracker" count="0" hidden="1"/>
    <cacheHierarchy uniqueName="[Measures].[__No measures defined]" caption="__No measures defined" measure="1" displayFolder="" count="0" hidden="1"/>
    <cacheHierarchy uniqueName="[Measures].[Count of Listing ID]" caption="Count of Listing ID" measure="1" displayFolder="" measureGroup="Cirrus_Tracker" count="0" oneField="1" hidden="1">
      <fieldsUsage count="1">
        <fieldUsage x="0"/>
      </fieldsUsage>
      <extLst>
        <ext xmlns:x15="http://schemas.microsoft.com/office/spreadsheetml/2010/11/main" uri="{B97F6D7D-B522-45F9-BDA1-12C45D357490}">
          <x15:cacheHierarchy aggregatedColumn="0"/>
        </ext>
      </extLst>
    </cacheHierarchy>
    <cacheHierarchy uniqueName="[Measures].[Count of Seller]" caption="Count of Seller" measure="1" displayFolder="" measureGroup="Cirrus_Tracker" count="0" hidden="1">
      <extLst>
        <ext xmlns:x15="http://schemas.microsoft.com/office/spreadsheetml/2010/11/main" uri="{B97F6D7D-B522-45F9-BDA1-12C45D357490}">
          <x15:cacheHierarchy aggregatedColumn="9"/>
        </ext>
      </extLst>
    </cacheHierarchy>
    <cacheHierarchy uniqueName="[Measures].[Distinct Count of Seller]" caption="Distinct Count of Seller" measure="1" displayFolder="" measureGroup="Cirrus_Tracker" count="0" oneField="1" hidden="1">
      <fieldsUsage count="1">
        <fieldUsage x="1"/>
      </fieldsUsage>
      <extLst>
        <ext xmlns:x15="http://schemas.microsoft.com/office/spreadsheetml/2010/11/main" uri="{B97F6D7D-B522-45F9-BDA1-12C45D357490}">
          <x15:cacheHierarchy aggregatedColumn="9"/>
        </ext>
      </extLst>
    </cacheHierarchy>
    <cacheHierarchy uniqueName="[Measures].[Count of Listing URL]" caption="Count of Listing URL" measure="1" displayFolder="" measureGroup="Cirrus_Tracker" count="0" hidden="1">
      <extLst>
        <ext xmlns:x15="http://schemas.microsoft.com/office/spreadsheetml/2010/11/main" uri="{B97F6D7D-B522-45F9-BDA1-12C45D357490}">
          <x15:cacheHierarchy aggregatedColumn="16"/>
        </ext>
      </extLst>
    </cacheHierarchy>
    <cacheHierarchy uniqueName="[Measures].[Distinct Count of Listing URL]" caption="Distinct Count of Listing URL" measure="1" displayFolder="" measureGroup="Cirrus_Tracker" count="0" hidden="1">
      <extLst>
        <ext xmlns:x15="http://schemas.microsoft.com/office/spreadsheetml/2010/11/main" uri="{B97F6D7D-B522-45F9-BDA1-12C45D357490}">
          <x15:cacheHierarchy aggregatedColumn="16"/>
        </ext>
      </extLst>
    </cacheHierarchy>
  </cacheHierarchies>
  <kpis count="0"/>
  <dimensions count="2">
    <dimension name="Cirrus_Tracker" uniqueName="[Cirrus_Tracker]" caption="Cirrus_Tracker"/>
    <dimension measure="1" name="Measures" uniqueName="[Measures]" caption="Measures"/>
  </dimensions>
  <measureGroups count="1">
    <measureGroup name="Cirrus_Tracker" caption="Cirrus_Tracker"/>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ogesh Rajput" refreshedDate="46222.535031250001" backgroundQuery="1" createdVersion="8" refreshedVersion="8" minRefreshableVersion="3" recordCount="0" supportSubquery="1" supportAdvancedDrill="1" xr:uid="{B8F5E346-2221-46C1-9930-7FB97AAAB4B2}">
  <cacheSource type="external" connectionId="1"/>
  <cacheFields count="5">
    <cacheField name="[Measures].[Count of Listing ID]" caption="Count of Listing ID" numFmtId="0" hierarchy="48" level="32767"/>
    <cacheField name="[Cirrus_Tracker].[Takedown Status].[Takedown Status]" caption="Takedown Status" numFmtId="0" hierarchy="38" level="1">
      <sharedItems containsSemiMixedTypes="0" containsNonDate="0" containsString="0"/>
    </cacheField>
    <cacheField name="[Cirrus_Tracker].[Complaint Status].[Complaint Status]" caption="Complaint Status" numFmtId="0" hierarchy="34" level="1">
      <sharedItems containsSemiMixedTypes="0" containsNonDate="0" containsString="0"/>
    </cacheField>
    <cacheField name="[Cirrus_Tracker].[Monitoring month].[Monitoring month]" caption="Monitoring month" numFmtId="0" hierarchy="1" level="1">
      <sharedItems containsSemiMixedTypes="0" containsNonDate="0" containsString="0"/>
    </cacheField>
    <cacheField name="[Cirrus_Tracker].[Monitoring month (Month)].[Monitoring month (Month)]" caption="Monitoring month (Month)" numFmtId="0" hierarchy="41" level="1">
      <sharedItems containsSemiMixedTypes="0" containsNonDate="0" containsString="0"/>
    </cacheField>
  </cacheFields>
  <cacheHierarchies count="53">
    <cacheHierarchy uniqueName="[Cirrus_Tracker].[Listing ID]" caption="Listing ID" attribute="1" defaultMemberUniqueName="[Cirrus_Tracker].[Listing ID].[All]" allUniqueName="[Cirrus_Tracker].[Listing ID].[All]" dimensionUniqueName="[Cirrus_Tracker]" displayFolder="" count="0" memberValueDatatype="130" unbalanced="0"/>
    <cacheHierarchy uniqueName="[Cirrus_Tracker].[Monitoring month]" caption="Monitoring month" attribute="1" time="1" defaultMemberUniqueName="[Cirrus_Tracker].[Monitoring month].[All]" allUniqueName="[Cirrus_Tracker].[Monitoring month].[All]" dimensionUniqueName="[Cirrus_Tracker]" displayFolder="" count="2" memberValueDatatype="7" unbalanced="0">
      <fieldsUsage count="2">
        <fieldUsage x="-1"/>
        <fieldUsage x="3"/>
      </fieldsUsage>
    </cacheHierarchy>
    <cacheHierarchy uniqueName="[Cirrus_Tracker].[Year]" caption="Year" attribute="1" defaultMemberUniqueName="[Cirrus_Tracker].[Year].[All]" allUniqueName="[Cirrus_Tracker].[Year].[All]" dimensionUniqueName="[Cirrus_Tracker]" displayFolder="" count="2" memberValueDatatype="20" unbalanced="0"/>
    <cacheHierarchy uniqueName="[Cirrus_Tracker].[Platform country]" caption="Platform country" attribute="1" defaultMemberUniqueName="[Cirrus_Tracker].[Platform country].[All]" allUniqueName="[Cirrus_Tracker].[Platform country].[All]" dimensionUniqueName="[Cirrus_Tracker]" displayFolder="" count="0" memberValueDatatype="130" unbalanced="0"/>
    <cacheHierarchy uniqueName="[Cirrus_Tracker].[POS Type]" caption="POS Type" attribute="1" defaultMemberUniqueName="[Cirrus_Tracker].[POS Type].[All]" allUniqueName="[Cirrus_Tracker].[POS Type].[All]" dimensionUniqueName="[Cirrus_Tracker]" displayFolder="" count="2" memberValueDatatype="130" unbalanced="0"/>
    <cacheHierarchy uniqueName="[Cirrus_Tracker].[Platform group]" caption="Platform group" attribute="1" defaultMemberUniqueName="[Cirrus_Tracker].[Platform group].[All]" allUniqueName="[Cirrus_Tracker].[Platform group].[All]" dimensionUniqueName="[Cirrus_Tracker]" displayFolder="" count="0" memberValueDatatype="130" unbalanced="0"/>
    <cacheHierarchy uniqueName="[Cirrus_Tracker].[Platform]" caption="Platform" attribute="1" defaultMemberUniqueName="[Cirrus_Tracker].[Platform].[All]" allUniqueName="[Cirrus_Tracker].[Platform].[All]" dimensionUniqueName="[Cirrus_Tracker]" displayFolder="" count="0" memberValueDatatype="130" unbalanced="0"/>
    <cacheHierarchy uniqueName="[Cirrus_Tracker].[Seller Flagged]" caption="Seller Flagged" attribute="1" defaultMemberUniqueName="[Cirrus_Tracker].[Seller Flagged].[All]" allUniqueName="[Cirrus_Tracker].[Seller Flagged].[All]" dimensionUniqueName="[Cirrus_Tracker]" displayFolder="" count="0" memberValueDatatype="130" unbalanced="0"/>
    <cacheHierarchy uniqueName="[Cirrus_Tracker].[Repeat Infringer]" caption="Repeat Infringer" attribute="1" defaultMemberUniqueName="[Cirrus_Tracker].[Repeat Infringer].[All]" allUniqueName="[Cirrus_Tracker].[Repeat Infringer].[All]" dimensionUniqueName="[Cirrus_Tracker]" displayFolder="" count="0" memberValueDatatype="130" unbalanced="0"/>
    <cacheHierarchy uniqueName="[Cirrus_Tracker].[Seller]" caption="Seller" attribute="1" defaultMemberUniqueName="[Cirrus_Tracker].[Seller].[All]" allUniqueName="[Cirrus_Tracker].[Seller].[All]" dimensionUniqueName="[Cirrus_Tracker]" displayFolder="" count="0" memberValueDatatype="130" unbalanced="0"/>
    <cacheHierarchy uniqueName="[Cirrus_Tracker].[Store URL]" caption="Store URL" attribute="1" defaultMemberUniqueName="[Cirrus_Tracker].[Store URL].[All]" allUniqueName="[Cirrus_Tracker].[Store URL].[All]" dimensionUniqueName="[Cirrus_Tracker]" displayFolder="" count="0" memberValueDatatype="130" unbalanced="0"/>
    <cacheHierarchy uniqueName="[Cirrus_Tracker].[Seller Business Type]" caption="Seller Business Type" attribute="1" defaultMemberUniqueName="[Cirrus_Tracker].[Seller Business Type].[All]" allUniqueName="[Cirrus_Tracker].[Seller Business Type].[All]" dimensionUniqueName="[Cirrus_Tracker]" displayFolder="" count="0" memberValueDatatype="130" unbalanced="0"/>
    <cacheHierarchy uniqueName="[Cirrus_Tracker].[Seller address]" caption="Seller address" attribute="1" defaultMemberUniqueName="[Cirrus_Tracker].[Seller address].[All]" allUniqueName="[Cirrus_Tracker].[Seller address].[All]" dimensionUniqueName="[Cirrus_Tracker]" displayFolder="" count="0" memberValueDatatype="130" unbalanced="0"/>
    <cacheHierarchy uniqueName="[Cirrus_Tracker].[Seller contact info]" caption="Seller contact info" attribute="1" defaultMemberUniqueName="[Cirrus_Tracker].[Seller contact info].[All]" allUniqueName="[Cirrus_Tracker].[Seller contact info].[All]" dimensionUniqueName="[Cirrus_Tracker]" displayFolder="" count="0" memberValueDatatype="130" unbalanced="0"/>
    <cacheHierarchy uniqueName="[Cirrus_Tracker].[Product Code]" caption="Product Code" attribute="1" defaultMemberUniqueName="[Cirrus_Tracker].[Product Code].[All]" allUniqueName="[Cirrus_Tracker].[Product Code].[All]" dimensionUniqueName="[Cirrus_Tracker]" displayFolder="" count="0" memberValueDatatype="130" unbalanced="0"/>
    <cacheHierarchy uniqueName="[Cirrus_Tracker].[Packmarks]" caption="Packmarks" attribute="1" defaultMemberUniqueName="[Cirrus_Tracker].[Packmarks].[All]" allUniqueName="[Cirrus_Tracker].[Packmarks].[All]" dimensionUniqueName="[Cirrus_Tracker]" displayFolder="" count="0" memberValueDatatype="130" unbalanced="0"/>
    <cacheHierarchy uniqueName="[Cirrus_Tracker].[Listing URL]" caption="Listing URL" attribute="1" defaultMemberUniqueName="[Cirrus_Tracker].[Listing URL].[All]" allUniqueName="[Cirrus_Tracker].[Listing URL].[All]" dimensionUniqueName="[Cirrus_Tracker]" displayFolder="" count="0" memberValueDatatype="130" unbalanced="0"/>
    <cacheHierarchy uniqueName="[Cirrus_Tracker].[Item No.]" caption="Item No." attribute="1" defaultMemberUniqueName="[Cirrus_Tracker].[Item No.].[All]" allUniqueName="[Cirrus_Tracker].[Item No.].[All]" dimensionUniqueName="[Cirrus_Tracker]" displayFolder="" count="0" memberValueDatatype="130" unbalanced="0"/>
    <cacheHierarchy uniqueName="[Cirrus_Tracker].[Product title]" caption="Product title" attribute="1" defaultMemberUniqueName="[Cirrus_Tracker].[Product title].[All]" allUniqueName="[Cirrus_Tracker].[Product title].[All]" dimensionUniqueName="[Cirrus_Tracker]" displayFolder="" count="0" memberValueDatatype="130" unbalanced="0"/>
    <cacheHierarchy uniqueName="[Cirrus_Tracker].[Advertised Price]" caption="Advertised Price" attribute="1" defaultMemberUniqueName="[Cirrus_Tracker].[Advertised Price].[All]" allUniqueName="[Cirrus_Tracker].[Advertised Price].[All]" dimensionUniqueName="[Cirrus_Tracker]" displayFolder="" count="0" memberValueDatatype="130" unbalanced="0"/>
    <cacheHierarchy uniqueName="[Cirrus_Tracker].[Currency]" caption="Currency" attribute="1" defaultMemberUniqueName="[Cirrus_Tracker].[Currency].[All]" allUniqueName="[Cirrus_Tracker].[Currency].[All]" dimensionUniqueName="[Cirrus_Tracker]" displayFolder="" count="0" memberValueDatatype="130" unbalanced="0"/>
    <cacheHierarchy uniqueName="[Cirrus_Tracker].[Advertised Price  (USD)]" caption="Advertised Price  (USD)" attribute="1" defaultMemberUniqueName="[Cirrus_Tracker].[Advertised Price  (USD)].[All]" allUniqueName="[Cirrus_Tracker].[Advertised Price  (USD)].[All]" dimensionUniqueName="[Cirrus_Tracker]" displayFolder="" count="0" memberValueDatatype="130" unbalanced="0"/>
    <cacheHierarchy uniqueName="[Cirrus_Tracker].[Official Price (USD)]" caption="Official Price (USD)" attribute="1" defaultMemberUniqueName="[Cirrus_Tracker].[Official Price (USD)].[All]" allUniqueName="[Cirrus_Tracker].[Official Price (USD)].[All]" dimensionUniqueName="[Cirrus_Tracker]" displayFolder="" count="0" memberValueDatatype="130" unbalanced="0"/>
    <cacheHierarchy uniqueName="[Cirrus_Tracker].[Discount %]" caption="Discount %" attribute="1" defaultMemberUniqueName="[Cirrus_Tracker].[Discount %].[All]" allUniqueName="[Cirrus_Tracker].[Discount %].[All]" dimensionUniqueName="[Cirrus_Tracker]" displayFolder="" count="0" memberValueDatatype="5" unbalanced="0"/>
    <cacheHierarchy uniqueName="[Cirrus_Tracker].[Stock (Units)]" caption="Stock (Units)" attribute="1" defaultMemberUniqueName="[Cirrus_Tracker].[Stock (Units)].[All]" allUniqueName="[Cirrus_Tracker].[Stock (Units)].[All]" dimensionUniqueName="[Cirrus_Tracker]" displayFolder="" count="0" memberValueDatatype="130" unbalanced="0"/>
    <cacheHierarchy uniqueName="[Cirrus_Tracker].[ATX Review Result]" caption="ATX Review Result" attribute="1" defaultMemberUniqueName="[Cirrus_Tracker].[ATX Review Result].[All]" allUniqueName="[Cirrus_Tracker].[ATX Review Result].[All]" dimensionUniqueName="[Cirrus_Tracker]" displayFolder="" count="0" memberValueDatatype="130" unbalanced="0"/>
    <cacheHierarchy uniqueName="[Cirrus_Tracker].[Infringement Type]" caption="Infringement Type" attribute="1" defaultMemberUniqueName="[Cirrus_Tracker].[Infringement Type].[All]" allUniqueName="[Cirrus_Tracker].[Infringement Type].[All]" dimensionUniqueName="[Cirrus_Tracker]" displayFolder="" count="2" memberValueDatatype="130" unbalanced="0"/>
    <cacheHierarchy uniqueName="[Cirrus_Tracker].[Risk indicator/Remarks]" caption="Risk indicator/Remarks" attribute="1" defaultMemberUniqueName="[Cirrus_Tracker].[Risk indicator/Remarks].[All]" allUniqueName="[Cirrus_Tracker].[Risk indicator/Remarks].[All]" dimensionUniqueName="[Cirrus_Tracker]" displayFolder="" count="0" memberValueDatatype="130" unbalanced="0"/>
    <cacheHierarchy uniqueName="[Cirrus_Tracker].[Complaint Draft/Evidence (PPT Slide Reference)]" caption="Complaint Draft/Evidence (PPT Slide Reference)" attribute="1" defaultMemberUniqueName="[Cirrus_Tracker].[Complaint Draft/Evidence (PPT Slide Reference)].[All]" allUniqueName="[Cirrus_Tracker].[Complaint Draft/Evidence (PPT Slide Reference)].[All]" dimensionUniqueName="[Cirrus_Tracker]" displayFolder="" count="0" memberValueDatatype="130" unbalanced="0"/>
    <cacheHierarchy uniqueName="[Cirrus_Tracker].[Feedback from ABC Company team]" caption="Feedback from ABC Company team" attribute="1" defaultMemberUniqueName="[Cirrus_Tracker].[Feedback from ABC Company team].[All]" allUniqueName="[Cirrus_Tracker].[Feedback from ABC Company team].[All]" dimensionUniqueName="[Cirrus_Tracker]" displayFolder="" count="0" memberValueDatatype="130" unbalanced="0"/>
    <cacheHierarchy uniqueName="[Cirrus_Tracker].[Test buy conducted (Yes/No)]" caption="Test buy conducted (Yes/No)" attribute="1" defaultMemberUniqueName="[Cirrus_Tracker].[Test buy conducted (Yes/No)].[All]" allUniqueName="[Cirrus_Tracker].[Test buy conducted (Yes/No)].[All]" dimensionUniqueName="[Cirrus_Tracker]" displayFolder="" count="0" memberValueDatatype="130" unbalanced="0"/>
    <cacheHierarchy uniqueName="[Cirrus_Tracker].[Test buy date]" caption="Test buy date" attribute="1" time="1" defaultMemberUniqueName="[Cirrus_Tracker].[Test buy date].[All]" allUniqueName="[Cirrus_Tracker].[Test buy date].[All]" dimensionUniqueName="[Cirrus_Tracker]" displayFolder="" count="0" memberValueDatatype="7" unbalanced="0"/>
    <cacheHierarchy uniqueName="[Cirrus_Tracker].[Test Buy Status]" caption="Test Buy Status" attribute="1" defaultMemberUniqueName="[Cirrus_Tracker].[Test Buy Status].[All]" allUniqueName="[Cirrus_Tracker].[Test Buy Status].[All]" dimensionUniqueName="[Cirrus_Tracker]" displayFolder="" count="0" memberValueDatatype="130" unbalanced="0"/>
    <cacheHierarchy uniqueName="[Cirrus_Tracker].[Test buy result]" caption="Test buy result" attribute="1" defaultMemberUniqueName="[Cirrus_Tracker].[Test buy result].[All]" allUniqueName="[Cirrus_Tracker].[Test buy result].[All]" dimensionUniqueName="[Cirrus_Tracker]" displayFolder="" count="0" memberValueDatatype="130" unbalanced="0"/>
    <cacheHierarchy uniqueName="[Cirrus_Tracker].[Complaint Status]" caption="Complaint Status" attribute="1" defaultMemberUniqueName="[Cirrus_Tracker].[Complaint Status].[All]" allUniqueName="[Cirrus_Tracker].[Complaint Status].[All]" dimensionUniqueName="[Cirrus_Tracker]" displayFolder="" count="2" memberValueDatatype="130" unbalanced="0">
      <fieldsUsage count="2">
        <fieldUsage x="-1"/>
        <fieldUsage x="2"/>
      </fieldsUsage>
    </cacheHierarchy>
    <cacheHierarchy uniqueName="[Cirrus_Tracker].[Not Filed Reason]" caption="Not Filed Reason" attribute="1" defaultMemberUniqueName="[Cirrus_Tracker].[Not Filed Reason].[All]" allUniqueName="[Cirrus_Tracker].[Not Filed Reason].[All]" dimensionUniqueName="[Cirrus_Tracker]" displayFolder="" count="0" memberValueDatatype="130" unbalanced="0"/>
    <cacheHierarchy uniqueName="[Cirrus_Tracker].[Complaint Date]" caption="Complaint Date" attribute="1" time="1" defaultMemberUniqueName="[Cirrus_Tracker].[Complaint Date].[All]" allUniqueName="[Cirrus_Tracker].[Complaint Date].[All]" dimensionUniqueName="[Cirrus_Tracker]" displayFolder="" count="0" memberValueDatatype="7" unbalanced="0"/>
    <cacheHierarchy uniqueName="[Cirrus_Tracker].[Complaint ID]" caption="Complaint ID" attribute="1" defaultMemberUniqueName="[Cirrus_Tracker].[Complaint ID].[All]" allUniqueName="[Cirrus_Tracker].[Complaint ID].[All]" dimensionUniqueName="[Cirrus_Tracker]" displayFolder="" count="0" memberValueDatatype="130" unbalanced="0"/>
    <cacheHierarchy uniqueName="[Cirrus_Tracker].[Takedown Status]" caption="Takedown Status" attribute="1" defaultMemberUniqueName="[Cirrus_Tracker].[Takedown Status].[All]" allUniqueName="[Cirrus_Tracker].[Takedown Status].[All]" dimensionUniqueName="[Cirrus_Tracker]" displayFolder="" count="2" memberValueDatatype="130" unbalanced="0">
      <fieldsUsage count="2">
        <fieldUsage x="-1"/>
        <fieldUsage x="1"/>
      </fieldsUsage>
    </cacheHierarchy>
    <cacheHierarchy uniqueName="[Cirrus_Tracker].[Takedown Date]" caption="Takedown Date" attribute="1" time="1" defaultMemberUniqueName="[Cirrus_Tracker].[Takedown Date].[All]" allUniqueName="[Cirrus_Tracker].[Takedown Date].[All]" dimensionUniqueName="[Cirrus_Tracker]" displayFolder="" count="0" memberValueDatatype="7" unbalanced="0"/>
    <cacheHierarchy uniqueName="[Cirrus_Tracker].[Next steps]" caption="Next steps" attribute="1" defaultMemberUniqueName="[Cirrus_Tracker].[Next steps].[All]" allUniqueName="[Cirrus_Tracker].[Next steps].[All]" dimensionUniqueName="[Cirrus_Tracker]" displayFolder="" count="0" memberValueDatatype="130" unbalanced="0"/>
    <cacheHierarchy uniqueName="[Cirrus_Tracker].[Monitoring month (Month)]" caption="Monitoring month (Month)" attribute="1" defaultMemberUniqueName="[Cirrus_Tracker].[Monitoring month (Month)].[All]" allUniqueName="[Cirrus_Tracker].[Monitoring month (Month)].[All]" dimensionUniqueName="[Cirrus_Tracker]" displayFolder="" count="2" memberValueDatatype="130" unbalanced="0">
      <fieldsUsage count="2">
        <fieldUsage x="-1"/>
        <fieldUsage x="4"/>
      </fieldsUsage>
    </cacheHierarchy>
    <cacheHierarchy uniqueName="[Cirrus_Tracker].[Monitoring month (Year)]" caption="Monitoring month (Year)" attribute="1" defaultMemberUniqueName="[Cirrus_Tracker].[Monitoring month (Year)].[All]" allUniqueName="[Cirrus_Tracker].[Monitoring month (Year)].[All]" dimensionUniqueName="[Cirrus_Tracker]" displayFolder="" count="0" memberValueDatatype="130" unbalanced="0"/>
    <cacheHierarchy uniqueName="[Cirrus_Tracker].[Monitoring month (Quarter)]" caption="Monitoring month (Quarter)" attribute="1" defaultMemberUniqueName="[Cirrus_Tracker].[Monitoring month (Quarter)].[All]" allUniqueName="[Cirrus_Tracker].[Monitoring month (Quarter)].[All]" dimensionUniqueName="[Cirrus_Tracker]" displayFolder="" count="0" memberValueDatatype="130" unbalanced="0"/>
    <cacheHierarchy uniqueName="[Cirrus_Tracker].[ATX remark on next steps]" caption="ATX remark on next steps" attribute="1" defaultMemberUniqueName="[Cirrus_Tracker].[ATX remark on next steps].[All]" allUniqueName="[Cirrus_Tracker].[ATX remark on next steps].[All]" dimensionUniqueName="[Cirrus_Tracker]" displayFolder="" count="0" memberValueDatatype="130" unbalanced="0"/>
    <cacheHierarchy uniqueName="[Cirrus_Tracker].[Monitoring month (Month Index)]" caption="Monitoring month (Month Index)" attribute="1" defaultMemberUniqueName="[Cirrus_Tracker].[Monitoring month (Month Index)].[All]" allUniqueName="[Cirrus_Tracker].[Monitoring month (Month Index)].[All]" dimensionUniqueName="[Cirrus_Tracker]" displayFolder="" count="0" memberValueDatatype="20" unbalanced="0" hidden="1"/>
    <cacheHierarchy uniqueName="[Measures].[__XL_Count Cirrus_Tracker]" caption="__XL_Count Cirrus_Tracker" measure="1" displayFolder="" measureGroup="Cirrus_Tracker" count="0" hidden="1"/>
    <cacheHierarchy uniqueName="[Measures].[__No measures defined]" caption="__No measures defined" measure="1" displayFolder="" count="0" hidden="1"/>
    <cacheHierarchy uniqueName="[Measures].[Count of Listing ID]" caption="Count of Listing ID" measure="1" displayFolder="" measureGroup="Cirrus_Tracker" count="0" oneField="1" hidden="1">
      <fieldsUsage count="1">
        <fieldUsage x="0"/>
      </fieldsUsage>
      <extLst>
        <ext xmlns:x15="http://schemas.microsoft.com/office/spreadsheetml/2010/11/main" uri="{B97F6D7D-B522-45F9-BDA1-12C45D357490}">
          <x15:cacheHierarchy aggregatedColumn="0"/>
        </ext>
      </extLst>
    </cacheHierarchy>
    <cacheHierarchy uniqueName="[Measures].[Count of Seller]" caption="Count of Seller" measure="1" displayFolder="" measureGroup="Cirrus_Tracker" count="0" hidden="1">
      <extLst>
        <ext xmlns:x15="http://schemas.microsoft.com/office/spreadsheetml/2010/11/main" uri="{B97F6D7D-B522-45F9-BDA1-12C45D357490}">
          <x15:cacheHierarchy aggregatedColumn="9"/>
        </ext>
      </extLst>
    </cacheHierarchy>
    <cacheHierarchy uniqueName="[Measures].[Distinct Count of Seller]" caption="Distinct Count of Seller" measure="1" displayFolder="" measureGroup="Cirrus_Tracker" count="0" hidden="1">
      <extLst>
        <ext xmlns:x15="http://schemas.microsoft.com/office/spreadsheetml/2010/11/main" uri="{B97F6D7D-B522-45F9-BDA1-12C45D357490}">
          <x15:cacheHierarchy aggregatedColumn="9"/>
        </ext>
      </extLst>
    </cacheHierarchy>
    <cacheHierarchy uniqueName="[Measures].[Count of Listing URL]" caption="Count of Listing URL" measure="1" displayFolder="" measureGroup="Cirrus_Tracker" count="0" hidden="1">
      <extLst>
        <ext xmlns:x15="http://schemas.microsoft.com/office/spreadsheetml/2010/11/main" uri="{B97F6D7D-B522-45F9-BDA1-12C45D357490}">
          <x15:cacheHierarchy aggregatedColumn="16"/>
        </ext>
      </extLst>
    </cacheHierarchy>
    <cacheHierarchy uniqueName="[Measures].[Distinct Count of Listing URL]" caption="Distinct Count of Listing URL" measure="1" displayFolder="" measureGroup="Cirrus_Tracker" count="0" hidden="1">
      <extLst>
        <ext xmlns:x15="http://schemas.microsoft.com/office/spreadsheetml/2010/11/main" uri="{B97F6D7D-B522-45F9-BDA1-12C45D357490}">
          <x15:cacheHierarchy aggregatedColumn="16"/>
        </ext>
      </extLst>
    </cacheHierarchy>
  </cacheHierarchies>
  <kpis count="0"/>
  <dimensions count="2">
    <dimension name="Cirrus_Tracker" uniqueName="[Cirrus_Tracker]" caption="Cirrus_Tracker"/>
    <dimension measure="1" name="Measures" uniqueName="[Measures]" caption="Measures"/>
  </dimensions>
  <measureGroups count="1">
    <measureGroup name="Cirrus_Tracker" caption="Cirrus_Tracker"/>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ogesh Rajput" refreshedDate="46222.535031481479" backgroundQuery="1" createdVersion="8" refreshedVersion="8" minRefreshableVersion="3" recordCount="0" supportSubquery="1" supportAdvancedDrill="1" xr:uid="{46EFB41E-882F-40D2-BB8A-6B7176F4D306}">
  <cacheSource type="external" connectionId="1"/>
  <cacheFields count="6">
    <cacheField name="[Measures].[Count of Listing ID]" caption="Count of Listing ID" numFmtId="0" hierarchy="48" level="32767"/>
    <cacheField name="[Cirrus_Tracker].[Test buy conducted (Yes/No)].[Test buy conducted (Yes/No)]" caption="Test buy conducted (Yes/No)" numFmtId="0" hierarchy="30" level="1">
      <sharedItems count="2">
        <s v="No"/>
        <s v="Yes"/>
      </sharedItems>
    </cacheField>
    <cacheField name="[Cirrus_Tracker].[Feedback from ABC Company team].[Feedback from ABC Company team]" caption="Feedback from ABC Company team" numFmtId="0" hierarchy="29" level="1">
      <sharedItems containsSemiMixedTypes="0" containsNonDate="0" containsString="0"/>
    </cacheField>
    <cacheField name="[Cirrus_Tracker].[Test buy result].[Test buy result]" caption="Test buy result" numFmtId="0" hierarchy="33" level="1">
      <sharedItems containsBlank="1" count="4">
        <m/>
        <s v="Determined Authentic by ABC Company team after analysis"/>
        <s v="Indicated authentic by ABC Company team: Final decision pending"/>
        <s v="Photos shared; Final decision pending"/>
      </sharedItems>
    </cacheField>
    <cacheField name="[Cirrus_Tracker].[Monitoring month].[Monitoring month]" caption="Monitoring month" numFmtId="0" hierarchy="1" level="1">
      <sharedItems containsSemiMixedTypes="0" containsNonDate="0" containsString="0"/>
    </cacheField>
    <cacheField name="[Cirrus_Tracker].[Monitoring month (Month)].[Monitoring month (Month)]" caption="Monitoring month (Month)" numFmtId="0" hierarchy="41" level="1">
      <sharedItems containsSemiMixedTypes="0" containsNonDate="0" containsString="0"/>
    </cacheField>
  </cacheFields>
  <cacheHierarchies count="53">
    <cacheHierarchy uniqueName="[Cirrus_Tracker].[Listing ID]" caption="Listing ID" attribute="1" defaultMemberUniqueName="[Cirrus_Tracker].[Listing ID].[All]" allUniqueName="[Cirrus_Tracker].[Listing ID].[All]" dimensionUniqueName="[Cirrus_Tracker]" displayFolder="" count="0" memberValueDatatype="130" unbalanced="0"/>
    <cacheHierarchy uniqueName="[Cirrus_Tracker].[Monitoring month]" caption="Monitoring month" attribute="1" time="1" defaultMemberUniqueName="[Cirrus_Tracker].[Monitoring month].[All]" allUniqueName="[Cirrus_Tracker].[Monitoring month].[All]" dimensionUniqueName="[Cirrus_Tracker]" displayFolder="" count="2" memberValueDatatype="7" unbalanced="0">
      <fieldsUsage count="2">
        <fieldUsage x="-1"/>
        <fieldUsage x="4"/>
      </fieldsUsage>
    </cacheHierarchy>
    <cacheHierarchy uniqueName="[Cirrus_Tracker].[Year]" caption="Year" attribute="1" defaultMemberUniqueName="[Cirrus_Tracker].[Year].[All]" allUniqueName="[Cirrus_Tracker].[Year].[All]" dimensionUniqueName="[Cirrus_Tracker]" displayFolder="" count="2" memberValueDatatype="20" unbalanced="0"/>
    <cacheHierarchy uniqueName="[Cirrus_Tracker].[Platform country]" caption="Platform country" attribute="1" defaultMemberUniqueName="[Cirrus_Tracker].[Platform country].[All]" allUniqueName="[Cirrus_Tracker].[Platform country].[All]" dimensionUniqueName="[Cirrus_Tracker]" displayFolder="" count="0" memberValueDatatype="130" unbalanced="0"/>
    <cacheHierarchy uniqueName="[Cirrus_Tracker].[POS Type]" caption="POS Type" attribute="1" defaultMemberUniqueName="[Cirrus_Tracker].[POS Type].[All]" allUniqueName="[Cirrus_Tracker].[POS Type].[All]" dimensionUniqueName="[Cirrus_Tracker]" displayFolder="" count="2" memberValueDatatype="130" unbalanced="0"/>
    <cacheHierarchy uniqueName="[Cirrus_Tracker].[Platform group]" caption="Platform group" attribute="1" defaultMemberUniqueName="[Cirrus_Tracker].[Platform group].[All]" allUniqueName="[Cirrus_Tracker].[Platform group].[All]" dimensionUniqueName="[Cirrus_Tracker]" displayFolder="" count="0" memberValueDatatype="130" unbalanced="0"/>
    <cacheHierarchy uniqueName="[Cirrus_Tracker].[Platform]" caption="Platform" attribute="1" defaultMemberUniqueName="[Cirrus_Tracker].[Platform].[All]" allUniqueName="[Cirrus_Tracker].[Platform].[All]" dimensionUniqueName="[Cirrus_Tracker]" displayFolder="" count="0" memberValueDatatype="130" unbalanced="0"/>
    <cacheHierarchy uniqueName="[Cirrus_Tracker].[Seller Flagged]" caption="Seller Flagged" attribute="1" defaultMemberUniqueName="[Cirrus_Tracker].[Seller Flagged].[All]" allUniqueName="[Cirrus_Tracker].[Seller Flagged].[All]" dimensionUniqueName="[Cirrus_Tracker]" displayFolder="" count="0" memberValueDatatype="130" unbalanced="0"/>
    <cacheHierarchy uniqueName="[Cirrus_Tracker].[Repeat Infringer]" caption="Repeat Infringer" attribute="1" defaultMemberUniqueName="[Cirrus_Tracker].[Repeat Infringer].[All]" allUniqueName="[Cirrus_Tracker].[Repeat Infringer].[All]" dimensionUniqueName="[Cirrus_Tracker]" displayFolder="" count="0" memberValueDatatype="130" unbalanced="0"/>
    <cacheHierarchy uniqueName="[Cirrus_Tracker].[Seller]" caption="Seller" attribute="1" defaultMemberUniqueName="[Cirrus_Tracker].[Seller].[All]" allUniqueName="[Cirrus_Tracker].[Seller].[All]" dimensionUniqueName="[Cirrus_Tracker]" displayFolder="" count="0" memberValueDatatype="130" unbalanced="0"/>
    <cacheHierarchy uniqueName="[Cirrus_Tracker].[Store URL]" caption="Store URL" attribute="1" defaultMemberUniqueName="[Cirrus_Tracker].[Store URL].[All]" allUniqueName="[Cirrus_Tracker].[Store URL].[All]" dimensionUniqueName="[Cirrus_Tracker]" displayFolder="" count="0" memberValueDatatype="130" unbalanced="0"/>
    <cacheHierarchy uniqueName="[Cirrus_Tracker].[Seller Business Type]" caption="Seller Business Type" attribute="1" defaultMemberUniqueName="[Cirrus_Tracker].[Seller Business Type].[All]" allUniqueName="[Cirrus_Tracker].[Seller Business Type].[All]" dimensionUniqueName="[Cirrus_Tracker]" displayFolder="" count="0" memberValueDatatype="130" unbalanced="0"/>
    <cacheHierarchy uniqueName="[Cirrus_Tracker].[Seller address]" caption="Seller address" attribute="1" defaultMemberUniqueName="[Cirrus_Tracker].[Seller address].[All]" allUniqueName="[Cirrus_Tracker].[Seller address].[All]" dimensionUniqueName="[Cirrus_Tracker]" displayFolder="" count="0" memberValueDatatype="130" unbalanced="0"/>
    <cacheHierarchy uniqueName="[Cirrus_Tracker].[Seller contact info]" caption="Seller contact info" attribute="1" defaultMemberUniqueName="[Cirrus_Tracker].[Seller contact info].[All]" allUniqueName="[Cirrus_Tracker].[Seller contact info].[All]" dimensionUniqueName="[Cirrus_Tracker]" displayFolder="" count="0" memberValueDatatype="130" unbalanced="0"/>
    <cacheHierarchy uniqueName="[Cirrus_Tracker].[Product Code]" caption="Product Code" attribute="1" defaultMemberUniqueName="[Cirrus_Tracker].[Product Code].[All]" allUniqueName="[Cirrus_Tracker].[Product Code].[All]" dimensionUniqueName="[Cirrus_Tracker]" displayFolder="" count="0" memberValueDatatype="130" unbalanced="0"/>
    <cacheHierarchy uniqueName="[Cirrus_Tracker].[Packmarks]" caption="Packmarks" attribute="1" defaultMemberUniqueName="[Cirrus_Tracker].[Packmarks].[All]" allUniqueName="[Cirrus_Tracker].[Packmarks].[All]" dimensionUniqueName="[Cirrus_Tracker]" displayFolder="" count="0" memberValueDatatype="130" unbalanced="0"/>
    <cacheHierarchy uniqueName="[Cirrus_Tracker].[Listing URL]" caption="Listing URL" attribute="1" defaultMemberUniqueName="[Cirrus_Tracker].[Listing URL].[All]" allUniqueName="[Cirrus_Tracker].[Listing URL].[All]" dimensionUniqueName="[Cirrus_Tracker]" displayFolder="" count="0" memberValueDatatype="130" unbalanced="0"/>
    <cacheHierarchy uniqueName="[Cirrus_Tracker].[Item No.]" caption="Item No." attribute="1" defaultMemberUniqueName="[Cirrus_Tracker].[Item No.].[All]" allUniqueName="[Cirrus_Tracker].[Item No.].[All]" dimensionUniqueName="[Cirrus_Tracker]" displayFolder="" count="0" memberValueDatatype="130" unbalanced="0"/>
    <cacheHierarchy uniqueName="[Cirrus_Tracker].[Product title]" caption="Product title" attribute="1" defaultMemberUniqueName="[Cirrus_Tracker].[Product title].[All]" allUniqueName="[Cirrus_Tracker].[Product title].[All]" dimensionUniqueName="[Cirrus_Tracker]" displayFolder="" count="0" memberValueDatatype="130" unbalanced="0"/>
    <cacheHierarchy uniqueName="[Cirrus_Tracker].[Advertised Price]" caption="Advertised Price" attribute="1" defaultMemberUniqueName="[Cirrus_Tracker].[Advertised Price].[All]" allUniqueName="[Cirrus_Tracker].[Advertised Price].[All]" dimensionUniqueName="[Cirrus_Tracker]" displayFolder="" count="0" memberValueDatatype="130" unbalanced="0"/>
    <cacheHierarchy uniqueName="[Cirrus_Tracker].[Currency]" caption="Currency" attribute="1" defaultMemberUniqueName="[Cirrus_Tracker].[Currency].[All]" allUniqueName="[Cirrus_Tracker].[Currency].[All]" dimensionUniqueName="[Cirrus_Tracker]" displayFolder="" count="0" memberValueDatatype="130" unbalanced="0"/>
    <cacheHierarchy uniqueName="[Cirrus_Tracker].[Advertised Price  (USD)]" caption="Advertised Price  (USD)" attribute="1" defaultMemberUniqueName="[Cirrus_Tracker].[Advertised Price  (USD)].[All]" allUniqueName="[Cirrus_Tracker].[Advertised Price  (USD)].[All]" dimensionUniqueName="[Cirrus_Tracker]" displayFolder="" count="0" memberValueDatatype="130" unbalanced="0"/>
    <cacheHierarchy uniqueName="[Cirrus_Tracker].[Official Price (USD)]" caption="Official Price (USD)" attribute="1" defaultMemberUniqueName="[Cirrus_Tracker].[Official Price (USD)].[All]" allUniqueName="[Cirrus_Tracker].[Official Price (USD)].[All]" dimensionUniqueName="[Cirrus_Tracker]" displayFolder="" count="0" memberValueDatatype="130" unbalanced="0"/>
    <cacheHierarchy uniqueName="[Cirrus_Tracker].[Discount %]" caption="Discount %" attribute="1" defaultMemberUniqueName="[Cirrus_Tracker].[Discount %].[All]" allUniqueName="[Cirrus_Tracker].[Discount %].[All]" dimensionUniqueName="[Cirrus_Tracker]" displayFolder="" count="0" memberValueDatatype="5" unbalanced="0"/>
    <cacheHierarchy uniqueName="[Cirrus_Tracker].[Stock (Units)]" caption="Stock (Units)" attribute="1" defaultMemberUniqueName="[Cirrus_Tracker].[Stock (Units)].[All]" allUniqueName="[Cirrus_Tracker].[Stock (Units)].[All]" dimensionUniqueName="[Cirrus_Tracker]" displayFolder="" count="0" memberValueDatatype="130" unbalanced="0"/>
    <cacheHierarchy uniqueName="[Cirrus_Tracker].[ATX Review Result]" caption="ATX Review Result" attribute="1" defaultMemberUniqueName="[Cirrus_Tracker].[ATX Review Result].[All]" allUniqueName="[Cirrus_Tracker].[ATX Review Result].[All]" dimensionUniqueName="[Cirrus_Tracker]" displayFolder="" count="0" memberValueDatatype="130" unbalanced="0"/>
    <cacheHierarchy uniqueName="[Cirrus_Tracker].[Infringement Type]" caption="Infringement Type" attribute="1" defaultMemberUniqueName="[Cirrus_Tracker].[Infringement Type].[All]" allUniqueName="[Cirrus_Tracker].[Infringement Type].[All]" dimensionUniqueName="[Cirrus_Tracker]" displayFolder="" count="2" memberValueDatatype="130" unbalanced="0"/>
    <cacheHierarchy uniqueName="[Cirrus_Tracker].[Risk indicator/Remarks]" caption="Risk indicator/Remarks" attribute="1" defaultMemberUniqueName="[Cirrus_Tracker].[Risk indicator/Remarks].[All]" allUniqueName="[Cirrus_Tracker].[Risk indicator/Remarks].[All]" dimensionUniqueName="[Cirrus_Tracker]" displayFolder="" count="0" memberValueDatatype="130" unbalanced="0"/>
    <cacheHierarchy uniqueName="[Cirrus_Tracker].[Complaint Draft/Evidence (PPT Slide Reference)]" caption="Complaint Draft/Evidence (PPT Slide Reference)" attribute="1" defaultMemberUniqueName="[Cirrus_Tracker].[Complaint Draft/Evidence (PPT Slide Reference)].[All]" allUniqueName="[Cirrus_Tracker].[Complaint Draft/Evidence (PPT Slide Reference)].[All]" dimensionUniqueName="[Cirrus_Tracker]" displayFolder="" count="0" memberValueDatatype="130" unbalanced="0"/>
    <cacheHierarchy uniqueName="[Cirrus_Tracker].[Feedback from ABC Company team]" caption="Feedback from ABC Company team" attribute="1" defaultMemberUniqueName="[Cirrus_Tracker].[Feedback from ABC Company team].[All]" allUniqueName="[Cirrus_Tracker].[Feedback from ABC Company team].[All]" dimensionUniqueName="[Cirrus_Tracker]" displayFolder="" count="2" memberValueDatatype="130" unbalanced="0">
      <fieldsUsage count="2">
        <fieldUsage x="-1"/>
        <fieldUsage x="2"/>
      </fieldsUsage>
    </cacheHierarchy>
    <cacheHierarchy uniqueName="[Cirrus_Tracker].[Test buy conducted (Yes/No)]" caption="Test buy conducted (Yes/No)" attribute="1" defaultMemberUniqueName="[Cirrus_Tracker].[Test buy conducted (Yes/No)].[All]" allUniqueName="[Cirrus_Tracker].[Test buy conducted (Yes/No)].[All]" dimensionUniqueName="[Cirrus_Tracker]" displayFolder="" count="2" memberValueDatatype="130" unbalanced="0">
      <fieldsUsage count="2">
        <fieldUsage x="-1"/>
        <fieldUsage x="1"/>
      </fieldsUsage>
    </cacheHierarchy>
    <cacheHierarchy uniqueName="[Cirrus_Tracker].[Test buy date]" caption="Test buy date" attribute="1" time="1" defaultMemberUniqueName="[Cirrus_Tracker].[Test buy date].[All]" allUniqueName="[Cirrus_Tracker].[Test buy date].[All]" dimensionUniqueName="[Cirrus_Tracker]" displayFolder="" count="0" memberValueDatatype="7" unbalanced="0"/>
    <cacheHierarchy uniqueName="[Cirrus_Tracker].[Test Buy Status]" caption="Test Buy Status" attribute="1" defaultMemberUniqueName="[Cirrus_Tracker].[Test Buy Status].[All]" allUniqueName="[Cirrus_Tracker].[Test Buy Status].[All]" dimensionUniqueName="[Cirrus_Tracker]" displayFolder="" count="0" memberValueDatatype="130" unbalanced="0"/>
    <cacheHierarchy uniqueName="[Cirrus_Tracker].[Test buy result]" caption="Test buy result" attribute="1" defaultMemberUniqueName="[Cirrus_Tracker].[Test buy result].[All]" allUniqueName="[Cirrus_Tracker].[Test buy result].[All]" dimensionUniqueName="[Cirrus_Tracker]" displayFolder="" count="2" memberValueDatatype="130" unbalanced="0">
      <fieldsUsage count="2">
        <fieldUsage x="-1"/>
        <fieldUsage x="3"/>
      </fieldsUsage>
    </cacheHierarchy>
    <cacheHierarchy uniqueName="[Cirrus_Tracker].[Complaint Status]" caption="Complaint Status" attribute="1" defaultMemberUniqueName="[Cirrus_Tracker].[Complaint Status].[All]" allUniqueName="[Cirrus_Tracker].[Complaint Status].[All]" dimensionUniqueName="[Cirrus_Tracker]" displayFolder="" count="2" memberValueDatatype="130" unbalanced="0"/>
    <cacheHierarchy uniqueName="[Cirrus_Tracker].[Not Filed Reason]" caption="Not Filed Reason" attribute="1" defaultMemberUniqueName="[Cirrus_Tracker].[Not Filed Reason].[All]" allUniqueName="[Cirrus_Tracker].[Not Filed Reason].[All]" dimensionUniqueName="[Cirrus_Tracker]" displayFolder="" count="0" memberValueDatatype="130" unbalanced="0"/>
    <cacheHierarchy uniqueName="[Cirrus_Tracker].[Complaint Date]" caption="Complaint Date" attribute="1" time="1" defaultMemberUniqueName="[Cirrus_Tracker].[Complaint Date].[All]" allUniqueName="[Cirrus_Tracker].[Complaint Date].[All]" dimensionUniqueName="[Cirrus_Tracker]" displayFolder="" count="0" memberValueDatatype="7" unbalanced="0"/>
    <cacheHierarchy uniqueName="[Cirrus_Tracker].[Complaint ID]" caption="Complaint ID" attribute="1" defaultMemberUniqueName="[Cirrus_Tracker].[Complaint ID].[All]" allUniqueName="[Cirrus_Tracker].[Complaint ID].[All]" dimensionUniqueName="[Cirrus_Tracker]" displayFolder="" count="0" memberValueDatatype="130" unbalanced="0"/>
    <cacheHierarchy uniqueName="[Cirrus_Tracker].[Takedown Status]" caption="Takedown Status" attribute="1" defaultMemberUniqueName="[Cirrus_Tracker].[Takedown Status].[All]" allUniqueName="[Cirrus_Tracker].[Takedown Status].[All]" dimensionUniqueName="[Cirrus_Tracker]" displayFolder="" count="0" memberValueDatatype="130" unbalanced="0"/>
    <cacheHierarchy uniqueName="[Cirrus_Tracker].[Takedown Date]" caption="Takedown Date" attribute="1" time="1" defaultMemberUniqueName="[Cirrus_Tracker].[Takedown Date].[All]" allUniqueName="[Cirrus_Tracker].[Takedown Date].[All]" dimensionUniqueName="[Cirrus_Tracker]" displayFolder="" count="0" memberValueDatatype="7" unbalanced="0"/>
    <cacheHierarchy uniqueName="[Cirrus_Tracker].[Next steps]" caption="Next steps" attribute="1" defaultMemberUniqueName="[Cirrus_Tracker].[Next steps].[All]" allUniqueName="[Cirrus_Tracker].[Next steps].[All]" dimensionUniqueName="[Cirrus_Tracker]" displayFolder="" count="0" memberValueDatatype="130" unbalanced="0"/>
    <cacheHierarchy uniqueName="[Cirrus_Tracker].[Monitoring month (Month)]" caption="Monitoring month (Month)" attribute="1" defaultMemberUniqueName="[Cirrus_Tracker].[Monitoring month (Month)].[All]" allUniqueName="[Cirrus_Tracker].[Monitoring month (Month)].[All]" dimensionUniqueName="[Cirrus_Tracker]" displayFolder="" count="2" memberValueDatatype="130" unbalanced="0">
      <fieldsUsage count="2">
        <fieldUsage x="-1"/>
        <fieldUsage x="5"/>
      </fieldsUsage>
    </cacheHierarchy>
    <cacheHierarchy uniqueName="[Cirrus_Tracker].[Monitoring month (Year)]" caption="Monitoring month (Year)" attribute="1" defaultMemberUniqueName="[Cirrus_Tracker].[Monitoring month (Year)].[All]" allUniqueName="[Cirrus_Tracker].[Monitoring month (Year)].[All]" dimensionUniqueName="[Cirrus_Tracker]" displayFolder="" count="0" memberValueDatatype="130" unbalanced="0"/>
    <cacheHierarchy uniqueName="[Cirrus_Tracker].[Monitoring month (Quarter)]" caption="Monitoring month (Quarter)" attribute="1" defaultMemberUniqueName="[Cirrus_Tracker].[Monitoring month (Quarter)].[All]" allUniqueName="[Cirrus_Tracker].[Monitoring month (Quarter)].[All]" dimensionUniqueName="[Cirrus_Tracker]" displayFolder="" count="0" memberValueDatatype="130" unbalanced="0"/>
    <cacheHierarchy uniqueName="[Cirrus_Tracker].[ATX remark on next steps]" caption="ATX remark on next steps" attribute="1" defaultMemberUniqueName="[Cirrus_Tracker].[ATX remark on next steps].[All]" allUniqueName="[Cirrus_Tracker].[ATX remark on next steps].[All]" dimensionUniqueName="[Cirrus_Tracker]" displayFolder="" count="0" memberValueDatatype="130" unbalanced="0"/>
    <cacheHierarchy uniqueName="[Cirrus_Tracker].[Monitoring month (Month Index)]" caption="Monitoring month (Month Index)" attribute="1" defaultMemberUniqueName="[Cirrus_Tracker].[Monitoring month (Month Index)].[All]" allUniqueName="[Cirrus_Tracker].[Monitoring month (Month Index)].[All]" dimensionUniqueName="[Cirrus_Tracker]" displayFolder="" count="0" memberValueDatatype="20" unbalanced="0" hidden="1"/>
    <cacheHierarchy uniqueName="[Measures].[__XL_Count Cirrus_Tracker]" caption="__XL_Count Cirrus_Tracker" measure="1" displayFolder="" measureGroup="Cirrus_Tracker" count="0" hidden="1"/>
    <cacheHierarchy uniqueName="[Measures].[__No measures defined]" caption="__No measures defined" measure="1" displayFolder="" count="0" hidden="1"/>
    <cacheHierarchy uniqueName="[Measures].[Count of Listing ID]" caption="Count of Listing ID" measure="1" displayFolder="" measureGroup="Cirrus_Tracker" count="0" oneField="1" hidden="1">
      <fieldsUsage count="1">
        <fieldUsage x="0"/>
      </fieldsUsage>
      <extLst>
        <ext xmlns:x15="http://schemas.microsoft.com/office/spreadsheetml/2010/11/main" uri="{B97F6D7D-B522-45F9-BDA1-12C45D357490}">
          <x15:cacheHierarchy aggregatedColumn="0"/>
        </ext>
      </extLst>
    </cacheHierarchy>
    <cacheHierarchy uniqueName="[Measures].[Count of Seller]" caption="Count of Seller" measure="1" displayFolder="" measureGroup="Cirrus_Tracker" count="0" hidden="1">
      <extLst>
        <ext xmlns:x15="http://schemas.microsoft.com/office/spreadsheetml/2010/11/main" uri="{B97F6D7D-B522-45F9-BDA1-12C45D357490}">
          <x15:cacheHierarchy aggregatedColumn="9"/>
        </ext>
      </extLst>
    </cacheHierarchy>
    <cacheHierarchy uniqueName="[Measures].[Distinct Count of Seller]" caption="Distinct Count of Seller" measure="1" displayFolder="" measureGroup="Cirrus_Tracker" count="0" hidden="1">
      <extLst>
        <ext xmlns:x15="http://schemas.microsoft.com/office/spreadsheetml/2010/11/main" uri="{B97F6D7D-B522-45F9-BDA1-12C45D357490}">
          <x15:cacheHierarchy aggregatedColumn="9"/>
        </ext>
      </extLst>
    </cacheHierarchy>
    <cacheHierarchy uniqueName="[Measures].[Count of Listing URL]" caption="Count of Listing URL" measure="1" displayFolder="" measureGroup="Cirrus_Tracker" count="0" hidden="1">
      <extLst>
        <ext xmlns:x15="http://schemas.microsoft.com/office/spreadsheetml/2010/11/main" uri="{B97F6D7D-B522-45F9-BDA1-12C45D357490}">
          <x15:cacheHierarchy aggregatedColumn="16"/>
        </ext>
      </extLst>
    </cacheHierarchy>
    <cacheHierarchy uniqueName="[Measures].[Distinct Count of Listing URL]" caption="Distinct Count of Listing URL" measure="1" displayFolder="" measureGroup="Cirrus_Tracker" count="0" hidden="1">
      <extLst>
        <ext xmlns:x15="http://schemas.microsoft.com/office/spreadsheetml/2010/11/main" uri="{B97F6D7D-B522-45F9-BDA1-12C45D357490}">
          <x15:cacheHierarchy aggregatedColumn="16"/>
        </ext>
      </extLst>
    </cacheHierarchy>
  </cacheHierarchies>
  <kpis count="0"/>
  <dimensions count="2">
    <dimension name="Cirrus_Tracker" uniqueName="[Cirrus_Tracker]" caption="Cirrus_Tracker"/>
    <dimension measure="1" name="Measures" uniqueName="[Measures]" caption="Measures"/>
  </dimensions>
  <measureGroups count="1">
    <measureGroup name="Cirrus_Tracker" caption="Cirrus_Tracker"/>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Yogesh Rajput" refreshedDate="46222.534880324078" backgroundQuery="1" createdVersion="3" refreshedVersion="8" minRefreshableVersion="3" recordCount="0" supportSubquery="1" supportAdvancedDrill="1" xr:uid="{50D5FA9B-651B-4BA2-865D-188EA8C813D9}">
  <cacheSource type="external" connectionId="1">
    <extLst>
      <ext xmlns:x14="http://schemas.microsoft.com/office/spreadsheetml/2009/9/main" uri="{F057638F-6D5F-4e77-A914-E7F072B9BCA8}">
        <x14:sourceConnection name="ThisWorkbookDataModel"/>
      </ext>
    </extLst>
  </cacheSource>
  <cacheFields count="0"/>
  <cacheHierarchies count="53">
    <cacheHierarchy uniqueName="[Cirrus_Tracker].[Listing ID]" caption="Listing ID" attribute="1" defaultMemberUniqueName="[Cirrus_Tracker].[Listing ID].[All]" allUniqueName="[Cirrus_Tracker].[Listing ID].[All]" dimensionUniqueName="[Cirrus_Tracker]" displayFolder="" count="0" memberValueDatatype="130" unbalanced="0"/>
    <cacheHierarchy uniqueName="[Cirrus_Tracker].[Monitoring month]" caption="Monitoring month" attribute="1" time="1" defaultMemberUniqueName="[Cirrus_Tracker].[Monitoring month].[All]" allUniqueName="[Cirrus_Tracker].[Monitoring month].[All]" dimensionUniqueName="[Cirrus_Tracker]" displayFolder="" count="0" memberValueDatatype="7" unbalanced="0"/>
    <cacheHierarchy uniqueName="[Cirrus_Tracker].[Year]" caption="Year" attribute="1" defaultMemberUniqueName="[Cirrus_Tracker].[Year].[All]" allUniqueName="[Cirrus_Tracker].[Year].[All]" dimensionUniqueName="[Cirrus_Tracker]" displayFolder="" count="2" memberValueDatatype="20" unbalanced="0"/>
    <cacheHierarchy uniqueName="[Cirrus_Tracker].[Platform country]" caption="Platform country" attribute="1" defaultMemberUniqueName="[Cirrus_Tracker].[Platform country].[All]" allUniqueName="[Cirrus_Tracker].[Platform country].[All]" dimensionUniqueName="[Cirrus_Tracker]" displayFolder="" count="0" memberValueDatatype="130" unbalanced="0"/>
    <cacheHierarchy uniqueName="[Cirrus_Tracker].[POS Type]" caption="POS Type" attribute="1" defaultMemberUniqueName="[Cirrus_Tracker].[POS Type].[All]" allUniqueName="[Cirrus_Tracker].[POS Type].[All]" dimensionUniqueName="[Cirrus_Tracker]" displayFolder="" count="2" memberValueDatatype="130" unbalanced="0"/>
    <cacheHierarchy uniqueName="[Cirrus_Tracker].[Platform group]" caption="Platform group" attribute="1" defaultMemberUniqueName="[Cirrus_Tracker].[Platform group].[All]" allUniqueName="[Cirrus_Tracker].[Platform group].[All]" dimensionUniqueName="[Cirrus_Tracker]" displayFolder="" count="0" memberValueDatatype="130" unbalanced="0"/>
    <cacheHierarchy uniqueName="[Cirrus_Tracker].[Platform]" caption="Platform" attribute="1" defaultMemberUniqueName="[Cirrus_Tracker].[Platform].[All]" allUniqueName="[Cirrus_Tracker].[Platform].[All]" dimensionUniqueName="[Cirrus_Tracker]" displayFolder="" count="0" memberValueDatatype="130" unbalanced="0"/>
    <cacheHierarchy uniqueName="[Cirrus_Tracker].[Seller Flagged]" caption="Seller Flagged" attribute="1" defaultMemberUniqueName="[Cirrus_Tracker].[Seller Flagged].[All]" allUniqueName="[Cirrus_Tracker].[Seller Flagged].[All]" dimensionUniqueName="[Cirrus_Tracker]" displayFolder="" count="0" memberValueDatatype="130" unbalanced="0"/>
    <cacheHierarchy uniqueName="[Cirrus_Tracker].[Repeat Infringer]" caption="Repeat Infringer" attribute="1" defaultMemberUniqueName="[Cirrus_Tracker].[Repeat Infringer].[All]" allUniqueName="[Cirrus_Tracker].[Repeat Infringer].[All]" dimensionUniqueName="[Cirrus_Tracker]" displayFolder="" count="0" memberValueDatatype="130" unbalanced="0"/>
    <cacheHierarchy uniqueName="[Cirrus_Tracker].[Seller]" caption="Seller" attribute="1" defaultMemberUniqueName="[Cirrus_Tracker].[Seller].[All]" allUniqueName="[Cirrus_Tracker].[Seller].[All]" dimensionUniqueName="[Cirrus_Tracker]" displayFolder="" count="0" memberValueDatatype="130" unbalanced="0"/>
    <cacheHierarchy uniqueName="[Cirrus_Tracker].[Store URL]" caption="Store URL" attribute="1" defaultMemberUniqueName="[Cirrus_Tracker].[Store URL].[All]" allUniqueName="[Cirrus_Tracker].[Store URL].[All]" dimensionUniqueName="[Cirrus_Tracker]" displayFolder="" count="0" memberValueDatatype="130" unbalanced="0"/>
    <cacheHierarchy uniqueName="[Cirrus_Tracker].[Seller Business Type]" caption="Seller Business Type" attribute="1" defaultMemberUniqueName="[Cirrus_Tracker].[Seller Business Type].[All]" allUniqueName="[Cirrus_Tracker].[Seller Business Type].[All]" dimensionUniqueName="[Cirrus_Tracker]" displayFolder="" count="0" memberValueDatatype="130" unbalanced="0"/>
    <cacheHierarchy uniqueName="[Cirrus_Tracker].[Seller address]" caption="Seller address" attribute="1" defaultMemberUniqueName="[Cirrus_Tracker].[Seller address].[All]" allUniqueName="[Cirrus_Tracker].[Seller address].[All]" dimensionUniqueName="[Cirrus_Tracker]" displayFolder="" count="0" memberValueDatatype="130" unbalanced="0"/>
    <cacheHierarchy uniqueName="[Cirrus_Tracker].[Seller contact info]" caption="Seller contact info" attribute="1" defaultMemberUniqueName="[Cirrus_Tracker].[Seller contact info].[All]" allUniqueName="[Cirrus_Tracker].[Seller contact info].[All]" dimensionUniqueName="[Cirrus_Tracker]" displayFolder="" count="0" memberValueDatatype="130" unbalanced="0"/>
    <cacheHierarchy uniqueName="[Cirrus_Tracker].[Product Code]" caption="Product Code" attribute="1" defaultMemberUniqueName="[Cirrus_Tracker].[Product Code].[All]" allUniqueName="[Cirrus_Tracker].[Product Code].[All]" dimensionUniqueName="[Cirrus_Tracker]" displayFolder="" count="0" memberValueDatatype="130" unbalanced="0"/>
    <cacheHierarchy uniqueName="[Cirrus_Tracker].[Packmarks]" caption="Packmarks" attribute="1" defaultMemberUniqueName="[Cirrus_Tracker].[Packmarks].[All]" allUniqueName="[Cirrus_Tracker].[Packmarks].[All]" dimensionUniqueName="[Cirrus_Tracker]" displayFolder="" count="0" memberValueDatatype="130" unbalanced="0"/>
    <cacheHierarchy uniqueName="[Cirrus_Tracker].[Listing URL]" caption="Listing URL" attribute="1" defaultMemberUniqueName="[Cirrus_Tracker].[Listing URL].[All]" allUniqueName="[Cirrus_Tracker].[Listing URL].[All]" dimensionUniqueName="[Cirrus_Tracker]" displayFolder="" count="0" memberValueDatatype="130" unbalanced="0"/>
    <cacheHierarchy uniqueName="[Cirrus_Tracker].[Item No.]" caption="Item No." attribute="1" defaultMemberUniqueName="[Cirrus_Tracker].[Item No.].[All]" allUniqueName="[Cirrus_Tracker].[Item No.].[All]" dimensionUniqueName="[Cirrus_Tracker]" displayFolder="" count="0" memberValueDatatype="130" unbalanced="0"/>
    <cacheHierarchy uniqueName="[Cirrus_Tracker].[Product title]" caption="Product title" attribute="1" defaultMemberUniqueName="[Cirrus_Tracker].[Product title].[All]" allUniqueName="[Cirrus_Tracker].[Product title].[All]" dimensionUniqueName="[Cirrus_Tracker]" displayFolder="" count="0" memberValueDatatype="130" unbalanced="0"/>
    <cacheHierarchy uniqueName="[Cirrus_Tracker].[Advertised Price]" caption="Advertised Price" attribute="1" defaultMemberUniqueName="[Cirrus_Tracker].[Advertised Price].[All]" allUniqueName="[Cirrus_Tracker].[Advertised Price].[All]" dimensionUniqueName="[Cirrus_Tracker]" displayFolder="" count="0" memberValueDatatype="130" unbalanced="0"/>
    <cacheHierarchy uniqueName="[Cirrus_Tracker].[Currency]" caption="Currency" attribute="1" defaultMemberUniqueName="[Cirrus_Tracker].[Currency].[All]" allUniqueName="[Cirrus_Tracker].[Currency].[All]" dimensionUniqueName="[Cirrus_Tracker]" displayFolder="" count="0" memberValueDatatype="130" unbalanced="0"/>
    <cacheHierarchy uniqueName="[Cirrus_Tracker].[Advertised Price  (USD)]" caption="Advertised Price  (USD)" attribute="1" defaultMemberUniqueName="[Cirrus_Tracker].[Advertised Price  (USD)].[All]" allUniqueName="[Cirrus_Tracker].[Advertised Price  (USD)].[All]" dimensionUniqueName="[Cirrus_Tracker]" displayFolder="" count="0" memberValueDatatype="130" unbalanced="0"/>
    <cacheHierarchy uniqueName="[Cirrus_Tracker].[Official Price (USD)]" caption="Official Price (USD)" attribute="1" defaultMemberUniqueName="[Cirrus_Tracker].[Official Price (USD)].[All]" allUniqueName="[Cirrus_Tracker].[Official Price (USD)].[All]" dimensionUniqueName="[Cirrus_Tracker]" displayFolder="" count="0" memberValueDatatype="130" unbalanced="0"/>
    <cacheHierarchy uniqueName="[Cirrus_Tracker].[Discount %]" caption="Discount %" attribute="1" defaultMemberUniqueName="[Cirrus_Tracker].[Discount %].[All]" allUniqueName="[Cirrus_Tracker].[Discount %].[All]" dimensionUniqueName="[Cirrus_Tracker]" displayFolder="" count="0" memberValueDatatype="5" unbalanced="0"/>
    <cacheHierarchy uniqueName="[Cirrus_Tracker].[Stock (Units)]" caption="Stock (Units)" attribute="1" defaultMemberUniqueName="[Cirrus_Tracker].[Stock (Units)].[All]" allUniqueName="[Cirrus_Tracker].[Stock (Units)].[All]" dimensionUniqueName="[Cirrus_Tracker]" displayFolder="" count="0" memberValueDatatype="130" unbalanced="0"/>
    <cacheHierarchy uniqueName="[Cirrus_Tracker].[ATX Review Result]" caption="ATX Review Result" attribute="1" defaultMemberUniqueName="[Cirrus_Tracker].[ATX Review Result].[All]" allUniqueName="[Cirrus_Tracker].[ATX Review Result].[All]" dimensionUniqueName="[Cirrus_Tracker]" displayFolder="" count="0" memberValueDatatype="130" unbalanced="0"/>
    <cacheHierarchy uniqueName="[Cirrus_Tracker].[Infringement Type]" caption="Infringement Type" attribute="1" defaultMemberUniqueName="[Cirrus_Tracker].[Infringement Type].[All]" allUniqueName="[Cirrus_Tracker].[Infringement Type].[All]" dimensionUniqueName="[Cirrus_Tracker]" displayFolder="" count="2" memberValueDatatype="130" unbalanced="0"/>
    <cacheHierarchy uniqueName="[Cirrus_Tracker].[Risk indicator/Remarks]" caption="Risk indicator/Remarks" attribute="1" defaultMemberUniqueName="[Cirrus_Tracker].[Risk indicator/Remarks].[All]" allUniqueName="[Cirrus_Tracker].[Risk indicator/Remarks].[All]" dimensionUniqueName="[Cirrus_Tracker]" displayFolder="" count="0" memberValueDatatype="130" unbalanced="0"/>
    <cacheHierarchy uniqueName="[Cirrus_Tracker].[Complaint Draft/Evidence (PPT Slide Reference)]" caption="Complaint Draft/Evidence (PPT Slide Reference)" attribute="1" defaultMemberUniqueName="[Cirrus_Tracker].[Complaint Draft/Evidence (PPT Slide Reference)].[All]" allUniqueName="[Cirrus_Tracker].[Complaint Draft/Evidence (PPT Slide Reference)].[All]" dimensionUniqueName="[Cirrus_Tracker]" displayFolder="" count="0" memberValueDatatype="130" unbalanced="0"/>
    <cacheHierarchy uniqueName="[Cirrus_Tracker].[Feedback from ABC Company team]" caption="Feedback from ABC Company team" attribute="1" defaultMemberUniqueName="[Cirrus_Tracker].[Feedback from ABC Company team].[All]" allUniqueName="[Cirrus_Tracker].[Feedback from ABC Company team].[All]" dimensionUniqueName="[Cirrus_Tracker]" displayFolder="" count="0" memberValueDatatype="130" unbalanced="0"/>
    <cacheHierarchy uniqueName="[Cirrus_Tracker].[Test buy conducted (Yes/No)]" caption="Test buy conducted (Yes/No)" attribute="1" defaultMemberUniqueName="[Cirrus_Tracker].[Test buy conducted (Yes/No)].[All]" allUniqueName="[Cirrus_Tracker].[Test buy conducted (Yes/No)].[All]" dimensionUniqueName="[Cirrus_Tracker]" displayFolder="" count="0" memberValueDatatype="130" unbalanced="0"/>
    <cacheHierarchy uniqueName="[Cirrus_Tracker].[Test buy date]" caption="Test buy date" attribute="1" time="1" defaultMemberUniqueName="[Cirrus_Tracker].[Test buy date].[All]" allUniqueName="[Cirrus_Tracker].[Test buy date].[All]" dimensionUniqueName="[Cirrus_Tracker]" displayFolder="" count="0" memberValueDatatype="7" unbalanced="0"/>
    <cacheHierarchy uniqueName="[Cirrus_Tracker].[Test Buy Status]" caption="Test Buy Status" attribute="1" defaultMemberUniqueName="[Cirrus_Tracker].[Test Buy Status].[All]" allUniqueName="[Cirrus_Tracker].[Test Buy Status].[All]" dimensionUniqueName="[Cirrus_Tracker]" displayFolder="" count="0" memberValueDatatype="130" unbalanced="0"/>
    <cacheHierarchy uniqueName="[Cirrus_Tracker].[Test buy result]" caption="Test buy result" attribute="1" defaultMemberUniqueName="[Cirrus_Tracker].[Test buy result].[All]" allUniqueName="[Cirrus_Tracker].[Test buy result].[All]" dimensionUniqueName="[Cirrus_Tracker]" displayFolder="" count="0" memberValueDatatype="130" unbalanced="0"/>
    <cacheHierarchy uniqueName="[Cirrus_Tracker].[Complaint Status]" caption="Complaint Status" attribute="1" defaultMemberUniqueName="[Cirrus_Tracker].[Complaint Status].[All]" allUniqueName="[Cirrus_Tracker].[Complaint Status].[All]" dimensionUniqueName="[Cirrus_Tracker]" displayFolder="" count="2" memberValueDatatype="130" unbalanced="0"/>
    <cacheHierarchy uniqueName="[Cirrus_Tracker].[Not Filed Reason]" caption="Not Filed Reason" attribute="1" defaultMemberUniqueName="[Cirrus_Tracker].[Not Filed Reason].[All]" allUniqueName="[Cirrus_Tracker].[Not Filed Reason].[All]" dimensionUniqueName="[Cirrus_Tracker]" displayFolder="" count="0" memberValueDatatype="130" unbalanced="0"/>
    <cacheHierarchy uniqueName="[Cirrus_Tracker].[Complaint Date]" caption="Complaint Date" attribute="1" time="1" defaultMemberUniqueName="[Cirrus_Tracker].[Complaint Date].[All]" allUniqueName="[Cirrus_Tracker].[Complaint Date].[All]" dimensionUniqueName="[Cirrus_Tracker]" displayFolder="" count="0" memberValueDatatype="7" unbalanced="0"/>
    <cacheHierarchy uniqueName="[Cirrus_Tracker].[Complaint ID]" caption="Complaint ID" attribute="1" defaultMemberUniqueName="[Cirrus_Tracker].[Complaint ID].[All]" allUniqueName="[Cirrus_Tracker].[Complaint ID].[All]" dimensionUniqueName="[Cirrus_Tracker]" displayFolder="" count="0" memberValueDatatype="130" unbalanced="0"/>
    <cacheHierarchy uniqueName="[Cirrus_Tracker].[Takedown Status]" caption="Takedown Status" attribute="1" defaultMemberUniqueName="[Cirrus_Tracker].[Takedown Status].[All]" allUniqueName="[Cirrus_Tracker].[Takedown Status].[All]" dimensionUniqueName="[Cirrus_Tracker]" displayFolder="" count="0" memberValueDatatype="130" unbalanced="0"/>
    <cacheHierarchy uniqueName="[Cirrus_Tracker].[Takedown Date]" caption="Takedown Date" attribute="1" time="1" defaultMemberUniqueName="[Cirrus_Tracker].[Takedown Date].[All]" allUniqueName="[Cirrus_Tracker].[Takedown Date].[All]" dimensionUniqueName="[Cirrus_Tracker]" displayFolder="" count="0" memberValueDatatype="7" unbalanced="0"/>
    <cacheHierarchy uniqueName="[Cirrus_Tracker].[Next steps]" caption="Next steps" attribute="1" defaultMemberUniqueName="[Cirrus_Tracker].[Next steps].[All]" allUniqueName="[Cirrus_Tracker].[Next steps].[All]" dimensionUniqueName="[Cirrus_Tracker]" displayFolder="" count="0" memberValueDatatype="130" unbalanced="0"/>
    <cacheHierarchy uniqueName="[Cirrus_Tracker].[Monitoring month (Month)]" caption="Monitoring month (Month)" attribute="1" defaultMemberUniqueName="[Cirrus_Tracker].[Monitoring month (Month)].[All]" allUniqueName="[Cirrus_Tracker].[Monitoring month (Month)].[All]" dimensionUniqueName="[Cirrus_Tracker]" displayFolder="" count="2" memberValueDatatype="130" unbalanced="0"/>
    <cacheHierarchy uniqueName="[Cirrus_Tracker].[Monitoring month (Year)]" caption="Monitoring month (Year)" attribute="1" defaultMemberUniqueName="[Cirrus_Tracker].[Monitoring month (Year)].[All]" allUniqueName="[Cirrus_Tracker].[Monitoring month (Year)].[All]" dimensionUniqueName="[Cirrus_Tracker]" displayFolder="" count="0" memberValueDatatype="130" unbalanced="0"/>
    <cacheHierarchy uniqueName="[Cirrus_Tracker].[Monitoring month (Quarter)]" caption="Monitoring month (Quarter)" attribute="1" defaultMemberUniqueName="[Cirrus_Tracker].[Monitoring month (Quarter)].[All]" allUniqueName="[Cirrus_Tracker].[Monitoring month (Quarter)].[All]" dimensionUniqueName="[Cirrus_Tracker]" displayFolder="" count="0" memberValueDatatype="130" unbalanced="0"/>
    <cacheHierarchy uniqueName="[Cirrus_Tracker].[ATX remark on next steps]" caption="ATX remark on next steps" attribute="1" defaultMemberUniqueName="[Cirrus_Tracker].[ATX remark on next steps].[All]" allUniqueName="[Cirrus_Tracker].[ATX remark on next steps].[All]" dimensionUniqueName="[Cirrus_Tracker]" displayFolder="" count="0" memberValueDatatype="130" unbalanced="0"/>
    <cacheHierarchy uniqueName="[Cirrus_Tracker].[Monitoring month (Month Index)]" caption="Monitoring month (Month Index)" attribute="1" defaultMemberUniqueName="[Cirrus_Tracker].[Monitoring month (Month Index)].[All]" allUniqueName="[Cirrus_Tracker].[Monitoring month (Month Index)].[All]" dimensionUniqueName="[Cirrus_Tracker]" displayFolder="" count="0" memberValueDatatype="20" unbalanced="0" hidden="1"/>
    <cacheHierarchy uniqueName="[Measures].[__XL_Count Cirrus_Tracker]" caption="__XL_Count Cirrus_Tracker" measure="1" displayFolder="" measureGroup="Cirrus_Tracker" count="0" hidden="1"/>
    <cacheHierarchy uniqueName="[Measures].[__No measures defined]" caption="__No measures defined" measure="1" displayFolder="" count="0" hidden="1"/>
    <cacheHierarchy uniqueName="[Measures].[Count of Listing ID]" caption="Count of Listing ID" measure="1" displayFolder="" measureGroup="Cirrus_Tracker" count="0" hidden="1">
      <extLst>
        <ext xmlns:x15="http://schemas.microsoft.com/office/spreadsheetml/2010/11/main" uri="{B97F6D7D-B522-45F9-BDA1-12C45D357490}">
          <x15:cacheHierarchy aggregatedColumn="0"/>
        </ext>
      </extLst>
    </cacheHierarchy>
    <cacheHierarchy uniqueName="[Measures].[Count of Seller]" caption="Count of Seller" measure="1" displayFolder="" measureGroup="Cirrus_Tracker" count="0" hidden="1">
      <extLst>
        <ext xmlns:x15="http://schemas.microsoft.com/office/spreadsheetml/2010/11/main" uri="{B97F6D7D-B522-45F9-BDA1-12C45D357490}">
          <x15:cacheHierarchy aggregatedColumn="9"/>
        </ext>
      </extLst>
    </cacheHierarchy>
    <cacheHierarchy uniqueName="[Measures].[Distinct Count of Seller]" caption="Distinct Count of Seller" measure="1" displayFolder="" measureGroup="Cirrus_Tracker" count="0" hidden="1">
      <extLst>
        <ext xmlns:x15="http://schemas.microsoft.com/office/spreadsheetml/2010/11/main" uri="{B97F6D7D-B522-45F9-BDA1-12C45D357490}">
          <x15:cacheHierarchy aggregatedColumn="9"/>
        </ext>
      </extLst>
    </cacheHierarchy>
    <cacheHierarchy uniqueName="[Measures].[Count of Listing URL]" caption="Count of Listing URL" measure="1" displayFolder="" measureGroup="Cirrus_Tracker" count="0" hidden="1">
      <extLst>
        <ext xmlns:x15="http://schemas.microsoft.com/office/spreadsheetml/2010/11/main" uri="{B97F6D7D-B522-45F9-BDA1-12C45D357490}">
          <x15:cacheHierarchy aggregatedColumn="16"/>
        </ext>
      </extLst>
    </cacheHierarchy>
    <cacheHierarchy uniqueName="[Measures].[Distinct Count of Listing URL]" caption="Distinct Count of Listing URL" measure="1" displayFolder="" measureGroup="Cirrus_Tracker" count="0" hidden="1">
      <extLst>
        <ext xmlns:x15="http://schemas.microsoft.com/office/spreadsheetml/2010/11/main" uri="{B97F6D7D-B522-45F9-BDA1-12C45D357490}">
          <x15:cacheHierarchy aggregatedColumn="16"/>
        </ext>
      </extLst>
    </cacheHierarchy>
  </cacheHierarchies>
  <kpis count="0"/>
  <extLst>
    <ext xmlns:x14="http://schemas.microsoft.com/office/spreadsheetml/2009/9/main" uri="{725AE2AE-9491-48be-B2B4-4EB974FC3084}">
      <x14:pivotCacheDefinition slicerData="1" pivotCacheId="1971598464"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97024AB-9583-492B-A5C5-C7DDC2AD8C47}" name="PivotTable9" cacheId="221" applyNumberFormats="0" applyBorderFormats="0" applyFontFormats="0" applyPatternFormats="0" applyAlignmentFormats="0" applyWidthHeightFormats="1" dataCaption="Values" updatedVersion="8" minRefreshableVersion="5" useAutoFormatting="1" subtotalHiddenItems="1" itemPrintTitles="1" createdVersion="8" indent="0" outline="1" outlineData="1" multipleFieldFilters="0">
  <location ref="A31:A32" firstHeaderRow="1" firstDataRow="1" firstDataCol="0" rowPageCount="2" colPageCount="1"/>
  <pivotFields count="5">
    <pivotField dataField="1" subtotalTop="0" showAll="0" defaultSubtotal="0"/>
    <pivotField axis="axisPage" allDrilled="1" subtotalTop="0" showAll="0" dataSourceSort="1" defaultSubtotal="0" defaultAttributeDrillState="1"/>
    <pivotField axis="axisPage"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Items count="1">
    <i/>
  </colItems>
  <pageFields count="2">
    <pageField fld="2" hier="34" name="[Cirrus_Tracker].[Complaint Status].[All]" cap="All"/>
    <pageField fld="1" hier="38" name="[Cirrus_Tracker].[Takedown Status].&amp;[Removed]" cap="Removed"/>
  </pageFields>
  <dataFields count="1">
    <dataField name="Count of Listing ID" fld="0" subtotal="count" baseField="0" baseItem="0"/>
  </dataFields>
  <pivotHierarchies count="53">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caption="Distinct Count of Seller"/>
    <pivotHierarchy dragToData="1"/>
    <pivotHierarchy dragToData="1"/>
  </pivotHierarchies>
  <pivotTableStyleInfo name="PivotStyleLight16" showRowHeaders="1" showColHeaders="1" showRowStripes="0" showColStripes="0" showLastColumn="1"/>
  <filters count="1">
    <filter fld="3" type="dateBetween" evalOrder="-1" id="4" name="[Cirrus_Tracker].[Monitoring month]">
      <autoFilter ref="A1">
        <filterColumn colId="0">
          <customFilters and="1">
            <customFilter operator="greaterThanOrEqual" val="45658"/>
            <customFilter operator="lessThanOrEqual" val="4602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irrus Logic - Case Tracker.xlsx!Cirrus_Tracker">
        <x15:activeTabTopLevelEntity name="[Cirrus_Track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B2AE5DB-C7BE-40DA-83F9-3CF724067E56}" name="Listings_Count" cacheId="218" applyNumberFormats="0" applyBorderFormats="0" applyFontFormats="0" applyPatternFormats="0" applyAlignmentFormats="0" applyWidthHeightFormats="1" dataCaption="Values" updatedVersion="8" minRefreshableVersion="5" useAutoFormatting="1" subtotalHiddenItems="1" itemPrintTitles="1" createdVersion="8" indent="0" outline="1" outlineData="1" multipleFieldFilters="0">
  <location ref="A3:F6" firstHeaderRow="1" firstDataRow="3" firstDataCol="0"/>
  <pivotFields count="5">
    <pivotField dataField="1" subtotalTop="0" showAll="0" defaultSubtotal="0"/>
    <pivotField dataField="1" subtotalTop="0" showAll="0" defaultSubtotal="0"/>
    <pivotField axis="axisCol" allDrilled="1" subtotalTop="0" showAll="0" dataSourceSort="1" defaultSubtotal="0" defaultAttributeDrillState="1">
      <items count="2">
        <item x="0"/>
        <item x="1"/>
      </items>
    </pivotField>
    <pivotField allDrilled="1" subtotalTop="0" showAll="0" dataSourceSort="1" defaultSubtotal="0" defaultAttributeDrillState="1"/>
    <pivotField allDrilled="1" subtotalTop="0" showAll="0" dataSourceSort="1" defaultSubtotal="0" defaultAttributeDrillState="1"/>
  </pivotFields>
  <rowItems count="1">
    <i/>
  </rowItems>
  <colFields count="2">
    <field x="2"/>
    <field x="-2"/>
  </colFields>
  <colItems count="6">
    <i>
      <x/>
      <x/>
    </i>
    <i r="1" i="1">
      <x v="1"/>
    </i>
    <i>
      <x v="1"/>
      <x/>
    </i>
    <i r="1" i="1">
      <x v="1"/>
    </i>
    <i t="grand">
      <x/>
    </i>
    <i t="grand" i="1">
      <x/>
    </i>
  </colItems>
  <dataFields count="2">
    <dataField name="Count of Listing ID" fld="0" subtotal="count" baseField="0" baseItem="0"/>
    <dataField name="Distinct Count of Seller" fld="1" subtotal="count" baseField="0" baseItem="1">
      <extLst>
        <ext xmlns:x15="http://schemas.microsoft.com/office/spreadsheetml/2010/11/main" uri="{FABC7310-3BB5-11E1-824E-6D434824019B}">
          <x15:dataField isCountDistinct="1"/>
        </ext>
      </extLst>
    </dataField>
  </dataFields>
  <formats count="1">
    <format dxfId="51">
      <pivotArea field="2" grandCol="1" outline="0" collapsedLevelsAreSubtotals="1" axis="axisCol" fieldPosition="0">
        <references count="1">
          <reference field="4294967294" count="1" selected="0">
            <x v="1"/>
          </reference>
        </references>
      </pivotArea>
    </format>
  </formats>
  <pivotHierarchies count="53">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caption="Distinct Count of Seller"/>
    <pivotHierarchy dragToData="1"/>
    <pivotHierarchy dragToData="1"/>
  </pivotHierarchies>
  <pivotTableStyleInfo name="PivotStyleLight16" showRowHeaders="1" showColHeaders="1" showRowStripes="0" showColStripes="0" showLastColumn="1"/>
  <filters count="1">
    <filter fld="3" type="dateBetween" evalOrder="-1" id="4" name="[Cirrus_Tracker].[Monitoring month]">
      <autoFilter ref="A1">
        <filterColumn colId="0">
          <customFilters and="1">
            <customFilter operator="greaterThanOrEqual" val="45658"/>
            <customFilter operator="lessThanOrEqual" val="46022"/>
          </customFilters>
        </filterColumn>
      </autoFilter>
      <extLst>
        <ext xmlns:x15="http://schemas.microsoft.com/office/spreadsheetml/2010/11/main" uri="{0605FD5F-26C8-4aeb-8148-2DB25E43C511}">
          <x15:pivotFilter useWholeDay="1"/>
        </ext>
      </extLst>
    </filter>
  </filters>
  <colHierarchiesUsage count="2">
    <colHierarchyUsage hierarchyUsage="34"/>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irrus Logic - Case Tracker.xlsx!Cirrus_Tracker">
        <x15:activeTabTopLevelEntity name="[Cirrus_Track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7409BB2-FBFD-4959-85C6-E740110EFD78}" name="Test_Purchase" cacheId="224" applyNumberFormats="0" applyBorderFormats="0" applyFontFormats="0" applyPatternFormats="0" applyAlignmentFormats="0" applyWidthHeightFormats="1" dataCaption="Values" updatedVersion="8" minRefreshableVersion="5" useAutoFormatting="1" subtotalHiddenItems="1" itemPrintTitles="1" createdVersion="8" indent="0" outline="1" outlineData="1" multipleFieldFilters="0">
  <location ref="A11:D17" firstHeaderRow="1" firstDataRow="2" firstDataCol="1" rowPageCount="1" colPageCount="1"/>
  <pivotFields count="6">
    <pivotField dataField="1" subtotalTop="0" showAll="0" defaultSubtotal="0"/>
    <pivotField axis="axisCol" allDrilled="1" subtotalTop="0" showAll="0" dataSourceSort="1" defaultSubtotal="0" defaultAttributeDrillState="1">
      <items count="2">
        <item x="0"/>
        <item x="1"/>
      </items>
    </pivotField>
    <pivotField axis="axisPage" allDrilled="1" subtotalTop="0" showAll="0" dataSourceSort="1" defaultSubtotal="0" defaultAttributeDrillState="1"/>
    <pivotField axis="axisRow" allDrilled="1" subtotalTop="0" showAll="0" sortType="ascending" defaultSubtotal="0" defaultAttributeDrillState="1">
      <items count="4">
        <item x="1"/>
        <item x="2"/>
        <item x="3"/>
        <item x="0"/>
      </items>
    </pivotField>
    <pivotField allDrilled="1" subtotalTop="0" showAll="0" dataSourceSort="1" defaultSubtotal="0" defaultAttributeDrillState="1"/>
    <pivotField allDrilled="1" subtotalTop="0" showAll="0" dataSourceSort="1" defaultSubtotal="0" defaultAttributeDrillState="1"/>
  </pivotFields>
  <rowFields count="1">
    <field x="3"/>
  </rowFields>
  <rowItems count="5">
    <i>
      <x/>
    </i>
    <i>
      <x v="1"/>
    </i>
    <i>
      <x v="2"/>
    </i>
    <i>
      <x v="3"/>
    </i>
    <i t="grand">
      <x/>
    </i>
  </rowItems>
  <colFields count="1">
    <field x="1"/>
  </colFields>
  <colItems count="3">
    <i>
      <x/>
    </i>
    <i>
      <x v="1"/>
    </i>
    <i t="grand">
      <x/>
    </i>
  </colItems>
  <pageFields count="1">
    <pageField fld="2" hier="29" name="[Cirrus_Tracker].[Feedback from ABC Company team].&amp;[Approved to Conduct Test-Purchase]" cap="Approved to Conduct Test-Purchase"/>
  </pageFields>
  <dataFields count="1">
    <dataField name="Count of Listing ID" fld="0" subtotal="count" baseField="0" baseItem="0"/>
  </dataFields>
  <pivotHierarchies count="53">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caption="Distinct Count of Seller"/>
    <pivotHierarchy dragToData="1"/>
    <pivotHierarchy dragToData="1"/>
  </pivotHierarchies>
  <pivotTableStyleInfo name="PivotStyleLight16" showRowHeaders="1" showColHeaders="1" showRowStripes="0" showColStripes="0" showLastColumn="1"/>
  <filters count="1">
    <filter fld="4" type="dateBetween" evalOrder="-1" id="4" name="[Cirrus_Tracker].[Monitoring month]">
      <autoFilter ref="A1">
        <filterColumn colId="0">
          <customFilters and="1">
            <customFilter operator="greaterThanOrEqual" val="45658"/>
            <customFilter operator="lessThanOrEqual" val="46022"/>
          </customFilters>
        </filterColumn>
      </autoFilter>
      <extLst>
        <ext xmlns:x15="http://schemas.microsoft.com/office/spreadsheetml/2010/11/main" uri="{0605FD5F-26C8-4aeb-8148-2DB25E43C511}">
          <x15:pivotFilter useWholeDay="1"/>
        </ext>
      </extLst>
    </filter>
  </filters>
  <rowHierarchiesUsage count="1">
    <rowHierarchyUsage hierarchyUsage="33"/>
  </rowHierarchiesUsage>
  <colHierarchiesUsage count="1">
    <colHierarchyUsage hierarchyUsage="3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irrus Logic - Case Tracker.xlsx!Cirrus_Tracker">
        <x15:activeTabTopLevelEntity name="[Cirrus_Track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A493229-B2B8-47B8-80AB-1FFD97F5B85E}" name="PivotTable10" cacheId="200" applyNumberFormats="0" applyBorderFormats="0" applyFontFormats="0" applyPatternFormats="0" applyAlignmentFormats="0" applyWidthHeightFormats="1" dataCaption="Values" updatedVersion="8" minRefreshableVersion="5" useAutoFormatting="1" subtotalHiddenItems="1" rowGrandTotals="0" colGrandTotals="0" itemPrintTitles="1" createdVersion="8" indent="0" outline="1" outlineData="1" multipleFieldFilters="0">
  <location ref="A40:B46" firstHeaderRow="1" firstDataRow="1" firstDataCol="1" rowPageCount="2" colPageCount="1"/>
  <pivotFields count="6">
    <pivotField dataField="1" subtotalTop="0" showAll="0" defaultSubtotal="0"/>
    <pivotField axis="axisPage" allDrilled="1" subtotalTop="0" showAll="0" dataSourceSort="1" defaultSubtotal="0" defaultAttributeDrillState="1"/>
    <pivotField axis="axisPage" allDrilled="1" subtotalTop="0" showAll="0" dataSourceSort="1" defaultSubtotal="0" defaultAttributeDrillState="1"/>
    <pivotField axis="axisRow" allDrilled="1" subtotalTop="0" showAll="0" sortType="de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s>
  <rowFields count="1">
    <field x="3"/>
  </rowFields>
  <rowItems count="6">
    <i>
      <x v="2"/>
    </i>
    <i>
      <x v="5"/>
    </i>
    <i>
      <x v="3"/>
    </i>
    <i>
      <x/>
    </i>
    <i>
      <x v="4"/>
    </i>
    <i>
      <x v="1"/>
    </i>
  </rowItems>
  <colItems count="1">
    <i/>
  </colItems>
  <pageFields count="2">
    <pageField fld="2" hier="34" name="[Cirrus_Tracker].[Complaint Status].&amp;[Not Filed]" cap="Not Filed"/>
    <pageField fld="1" hier="38" name="[Cirrus_Tracker].[Takedown Status].[All]" cap="All"/>
  </pageFields>
  <dataFields count="1">
    <dataField name="Count of Listing ID" fld="0" subtotal="count" baseField="0" baseItem="0"/>
  </dataFields>
  <pivotHierarchies count="53">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irrus_Tracker].[Complaint Status].&amp;[Not Filed]"/>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caption="Distinct Count of Seller"/>
    <pivotHierarchy dragToData="1"/>
    <pivotHierarchy dragToData="1"/>
  </pivotHierarchies>
  <pivotTableStyleInfo name="PivotStyleLight16" showRowHeaders="1" showColHeaders="1" showRowStripes="0" showColStripes="0" showLastColumn="1"/>
  <filters count="1">
    <filter fld="4" type="dateBetween" evalOrder="-1" id="4" name="[Cirrus_Tracker].[Monitoring month]">
      <autoFilter ref="A1">
        <filterColumn colId="0">
          <customFilters and="1">
            <customFilter operator="greaterThanOrEqual" val="45658"/>
            <customFilter operator="lessThanOrEqual" val="46022"/>
          </customFilters>
        </filterColumn>
      </autoFilter>
      <extLst>
        <ext xmlns:x15="http://schemas.microsoft.com/office/spreadsheetml/2010/11/main" uri="{0605FD5F-26C8-4aeb-8148-2DB25E43C511}">
          <x15:pivotFilter useWholeDay="1"/>
        </ext>
      </extLst>
    </filter>
  </filters>
  <rowHierarchiesUsage count="1">
    <rowHierarchyUsage hierarchyUsage="3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irrus Logic - Case Tracker.xlsx!Cirrus_Tracker">
        <x15:activeTabTopLevelEntity name="[Cirrus_Track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4256487-6721-47D6-B01C-41E8F28769A3}" name="Most_Infringed_mkt" cacheId="209"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gridDropZones="1" multipleFieldFilters="0" chartFormat="130">
  <location ref="R3:S8" firstHeaderRow="2" firstDataRow="2" firstDataCol="1" rowPageCount="1" colPageCount="1"/>
  <pivotFields count="6">
    <pivotField compact="0" allDrilled="1" outline="0" subtotalTop="0" showAll="0"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dataField="1" compact="0" outline="0" subtotalTop="0" showAll="0" defaultSubtotal="0"/>
    <pivotField axis="axisRow" compact="0" allDrilled="1" outline="0" subtotalTop="0" showAll="0" measureFilter="1" sortType="a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 axis="axisPage" compact="0" allDrilled="1" outline="0" subtotalTop="0" showAll="0" sortType="descending" defaultSubtotal="0" defaultAttributeDrillState="1">
      <items count="2">
        <item s="1" x="0"/>
        <item x="1"/>
      </items>
    </pivotField>
    <pivotField compact="0" allDrilled="1" outline="0" subtotalTop="0" showAll="0" dataSourceSort="1" defaultSubtotal="0" defaultAttributeDrillState="1"/>
  </pivotFields>
  <rowFields count="1">
    <field x="2"/>
  </rowFields>
  <rowItems count="4">
    <i>
      <x v="2"/>
    </i>
    <i>
      <x/>
    </i>
    <i>
      <x v="1"/>
    </i>
    <i t="grand">
      <x/>
    </i>
  </rowItems>
  <colItems count="1">
    <i/>
  </colItems>
  <pageFields count="1">
    <pageField fld="4" hier="4" name="[Cirrus_Tracker].[POS Type].&amp;[Marketplace]" cap="Marketplace"/>
  </pageFields>
  <dataFields count="1">
    <dataField name="No. of URLs" fld="1" subtotal="count" baseField="0" baseItem="0"/>
  </dataFields>
  <chartFormats count="2">
    <chartFormat chart="0" format="0" series="1">
      <pivotArea type="data" outline="0" fieldPosition="0">
        <references count="1">
          <reference field="4294967294" count="1" selected="0">
            <x v="0"/>
          </reference>
        </references>
      </pivotArea>
    </chartFormat>
    <chartFormat chart="29" format="10" series="1">
      <pivotArea type="data" outline="0" fieldPosition="0">
        <references count="1">
          <reference field="4294967294" count="1" selected="0">
            <x v="0"/>
          </reference>
        </references>
      </pivotArea>
    </chartFormat>
  </chartFormats>
  <pivotHierarchies count="53">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Data="1" caption="No. of URLs"/>
    <pivotHierarchy dragToData="1"/>
    <pivotHierarchy dragToData="1" caption="No. of Sellers"/>
    <pivotHierarchy dragToData="1"/>
    <pivotHierarchy dragToData="1"/>
  </pivotHierarchies>
  <pivotTableStyleInfo name="PivotStyleLight16" showRowHeaders="1" showColHeaders="1" showRowStripes="0" showColStripes="0" showLastColumn="1"/>
  <filters count="2">
    <filter fld="3" type="dateBetween" evalOrder="-1" id="5" name="[Cirrus_Tracker].[Monitoring month]">
      <autoFilter ref="A1">
        <filterColumn colId="0">
          <customFilters and="1">
            <customFilter operator="greaterThanOrEqual" val="45658"/>
            <customFilter operator="lessThanOrEqual" val="46022"/>
          </customFilters>
        </filterColumn>
      </autoFilter>
      <extLst>
        <ext xmlns:x15="http://schemas.microsoft.com/office/spreadsheetml/2010/11/main" uri="{0605FD5F-26C8-4aeb-8148-2DB25E43C511}">
          <x15:pivotFilter useWholeDay="1"/>
        </ext>
      </extLst>
    </filter>
    <filter fld="2" type="count" id="8" iMeasureHier="48">
      <autoFilter ref="A1">
        <filterColumn colId="0">
          <top10 val="3" filterVal="3"/>
        </filterColumn>
      </autoFilter>
    </filter>
  </filters>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irrus Logic - Case Tracker.xlsx!Cirrus_Tracker">
        <x15:activeTabTopLevelEntity name="[Cirrus_Track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4681C36-F961-4187-A96B-296C9E98C279}" name="Most_Infringed_Products" cacheId="212"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gridDropZones="1" multipleFieldFilters="0" chartFormat="2">
  <location ref="G3:H8" firstHeaderRow="2" firstDataRow="2" firstDataCol="1"/>
  <pivotFields count="5">
    <pivotField compact="0" allDrilled="1" outline="0" subtotalTop="0" showAll="0"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dataField="1" compact="0" outline="0" subtotalTop="0" showAll="0" defaultSubtotal="0"/>
    <pivotField axis="axisRow" compact="0" allDrilled="1" outline="0" subtotalTop="0" showAll="0" measureFilter="1" sortType="a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2"/>
  </rowFields>
  <rowItems count="4">
    <i>
      <x v="2"/>
    </i>
    <i>
      <x v="1"/>
    </i>
    <i>
      <x/>
    </i>
    <i t="grand">
      <x/>
    </i>
  </rowItems>
  <colItems count="1">
    <i/>
  </colItems>
  <dataFields count="1">
    <dataField name="Count of Listing ID" fld="1" subtotal="count" baseField="0" baseItem="0"/>
  </dataFields>
  <chartFormats count="1">
    <chartFormat chart="0" format="0" series="1">
      <pivotArea type="data" outline="0" fieldPosition="0">
        <references count="1">
          <reference field="4294967294" count="1" selected="0">
            <x v="0"/>
          </reference>
        </references>
      </pivotArea>
    </chartFormat>
  </chartFormats>
  <pivotHierarchies count="53">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2" type="count" id="8" iMeasureHier="48">
      <autoFilter ref="A1">
        <filterColumn colId="0">
          <top10 val="3" filterVal="3"/>
        </filterColumn>
      </autoFilter>
    </filter>
    <filter fld="3" type="dateBetween" evalOrder="-1" id="6" name="[Cirrus_Tracker].[Monitoring month]">
      <autoFilter ref="A1">
        <filterColumn colId="0">
          <customFilters and="1">
            <customFilter operator="greaterThanOrEqual" val="45658"/>
            <customFilter operator="lessThanOrEqual" val="46022"/>
          </customFilters>
        </filterColumn>
      </autoFilter>
      <extLst>
        <ext xmlns:x15="http://schemas.microsoft.com/office/spreadsheetml/2010/11/main" uri="{0605FD5F-26C8-4aeb-8148-2DB25E43C511}">
          <x15:pivotFilter useWholeDay="1"/>
        </ext>
      </extLst>
    </filter>
  </filters>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irrus Logic - Case Tracker.xlsx!Cirrus_Tracker">
        <x15:activeTabTopLevelEntity name="[Cirrus_Track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C7EFD73-12F1-4BAF-B4FA-E2C000D1DFA3}" name="Most_Infringed_IW" cacheId="206"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gridDropZones="1" multipleFieldFilters="0" chartFormat="33">
  <location ref="V3:W8" firstHeaderRow="2" firstDataRow="2" firstDataCol="1" rowPageCount="1" colPageCount="1"/>
  <pivotFields count="6">
    <pivotField compact="0" allDrilled="1" outline="0" subtotalTop="0" showAll="0"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dataField="1" compact="0" outline="0" subtotalTop="0" showAll="0" defaultSubtotal="0"/>
    <pivotField axis="axisRow" compact="0" allDrilled="1" outline="0" subtotalTop="0" showAll="0" measureFilter="1" sortType="a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 axis="axisPage" compact="0" allDrilled="1" outline="0" subtotalTop="0" showAll="0" sortType="descending" defaultSubtotal="0" defaultAttributeDrillState="1">
      <items count="2">
        <item x="0"/>
        <item s="1" x="1"/>
      </items>
    </pivotField>
    <pivotField compact="0" allDrilled="1" outline="0" subtotalTop="0" showAll="0" dataSourceSort="1" defaultSubtotal="0" defaultAttributeDrillState="1"/>
  </pivotFields>
  <rowFields count="1">
    <field x="2"/>
  </rowFields>
  <rowItems count="4">
    <i>
      <x/>
    </i>
    <i>
      <x v="1"/>
    </i>
    <i>
      <x v="2"/>
    </i>
    <i t="grand">
      <x/>
    </i>
  </rowItems>
  <colItems count="1">
    <i/>
  </colItems>
  <pageFields count="1">
    <pageField fld="4" hier="4" name="[Cirrus_Tracker].[POS Type].&amp;[Independent Website]" cap="Independent Website"/>
  </pageFields>
  <dataFields count="1">
    <dataField name="No. of URLs" fld="1" subtotal="count" baseField="0" baseItem="0"/>
  </dataFields>
  <chartFormats count="3">
    <chartFormat chart="0" format="0"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0"/>
          </reference>
        </references>
      </pivotArea>
    </chartFormat>
    <chartFormat chart="4" format="8" series="1">
      <pivotArea type="data" outline="0" fieldPosition="0">
        <references count="2">
          <reference field="4294967294" count="1" selected="0">
            <x v="0"/>
          </reference>
          <reference field="4" count="1" selected="0">
            <x v="1"/>
          </reference>
        </references>
      </pivotArea>
    </chartFormat>
  </chartFormats>
  <pivotHierarchies count="53">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Data="1" caption="No. of URLs"/>
    <pivotHierarchy dragToData="1"/>
    <pivotHierarchy dragToData="1" caption="No. of Sellers"/>
    <pivotHierarchy dragToData="1"/>
    <pivotHierarchy dragToData="1"/>
  </pivotHierarchies>
  <pivotTableStyleInfo name="PivotStyleLight16" showRowHeaders="1" showColHeaders="1" showRowStripes="0" showColStripes="0" showLastColumn="1"/>
  <filters count="2">
    <filter fld="3" type="dateBetween" evalOrder="-1" id="5" name="[Cirrus_Tracker].[Monitoring month]">
      <autoFilter ref="A1">
        <filterColumn colId="0">
          <customFilters and="1">
            <customFilter operator="greaterThanOrEqual" val="45658"/>
            <customFilter operator="lessThanOrEqual" val="46022"/>
          </customFilters>
        </filterColumn>
      </autoFilter>
      <extLst>
        <ext xmlns:x15="http://schemas.microsoft.com/office/spreadsheetml/2010/11/main" uri="{0605FD5F-26C8-4aeb-8148-2DB25E43C511}">
          <x15:pivotFilter useWholeDay="1"/>
        </ext>
      </extLst>
    </filter>
    <filter fld="2" type="count" id="8" iMeasureHier="48">
      <autoFilter ref="A1">
        <filterColumn colId="0">
          <top10 val="3" filterVal="3"/>
        </filterColumn>
      </autoFilter>
    </filter>
  </filters>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irrus Logic - Case Tracker.xlsx!Cirrus_Tracker">
        <x15:activeTabTopLevelEntity name="[Cirrus_Track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552DE47-634E-4803-BA46-64EEF45305B5}" name="Pie_chart_Inf_Type" cacheId="197"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gridDropZones="1" multipleFieldFilters="0" chartFormat="121">
  <location ref="A3:B10" firstHeaderRow="2" firstDataRow="2" firstDataCol="1"/>
  <pivotFields count="4">
    <pivotField axis="axisRow" compact="0" allDrilled="1" outline="0"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0"/>
  </rowFields>
  <rowItems count="6">
    <i>
      <x/>
    </i>
    <i>
      <x v="3"/>
    </i>
    <i>
      <x v="1"/>
    </i>
    <i>
      <x v="2"/>
    </i>
    <i>
      <x v="4"/>
    </i>
    <i t="grand">
      <x/>
    </i>
  </rowItems>
  <colItems count="1">
    <i/>
  </colItems>
  <dataFields count="1">
    <dataField name="Count of Listing ID" fld="1" subtotal="count" baseField="0" baseItem="0"/>
  </dataFields>
  <chartFormats count="6">
    <chartFormat chart="20" format="18" series="1">
      <pivotArea type="data" outline="0" fieldPosition="0">
        <references count="1">
          <reference field="4294967294" count="1" selected="0">
            <x v="0"/>
          </reference>
        </references>
      </pivotArea>
    </chartFormat>
    <chartFormat chart="20" format="19">
      <pivotArea type="data" outline="0" fieldPosition="0">
        <references count="2">
          <reference field="4294967294" count="1" selected="0">
            <x v="0"/>
          </reference>
          <reference field="0" count="1" selected="0">
            <x v="0"/>
          </reference>
        </references>
      </pivotArea>
    </chartFormat>
    <chartFormat chart="20" format="20">
      <pivotArea type="data" outline="0" fieldPosition="0">
        <references count="2">
          <reference field="4294967294" count="1" selected="0">
            <x v="0"/>
          </reference>
          <reference field="0" count="1" selected="0">
            <x v="3"/>
          </reference>
        </references>
      </pivotArea>
    </chartFormat>
    <chartFormat chart="20" format="21">
      <pivotArea type="data" outline="0" fieldPosition="0">
        <references count="2">
          <reference field="4294967294" count="1" selected="0">
            <x v="0"/>
          </reference>
          <reference field="0" count="1" selected="0">
            <x v="1"/>
          </reference>
        </references>
      </pivotArea>
    </chartFormat>
    <chartFormat chart="20" format="22">
      <pivotArea type="data" outline="0" fieldPosition="0">
        <references count="2">
          <reference field="4294967294" count="1" selected="0">
            <x v="0"/>
          </reference>
          <reference field="0" count="1" selected="0">
            <x v="2"/>
          </reference>
        </references>
      </pivotArea>
    </chartFormat>
    <chartFormat chart="20" format="23">
      <pivotArea type="data" outline="0" fieldPosition="0">
        <references count="2">
          <reference field="4294967294" count="1" selected="0">
            <x v="0"/>
          </reference>
          <reference field="0" count="1" selected="0">
            <x v="4"/>
          </reference>
        </references>
      </pivotArea>
    </chartFormat>
  </chartFormats>
  <pivotHierarchies count="53">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dateBetween" evalOrder="-1" id="4" name="[Cirrus_Tracker].[Monitoring month]">
      <autoFilter ref="A1">
        <filterColumn colId="0">
          <customFilters and="1">
            <customFilter operator="greaterThanOrEqual" val="45658"/>
            <customFilter operator="lessThanOrEqual" val="46022"/>
          </customFilters>
        </filterColumn>
      </autoFilter>
      <extLst>
        <ext xmlns:x15="http://schemas.microsoft.com/office/spreadsheetml/2010/11/main" uri="{0605FD5F-26C8-4aeb-8148-2DB25E43C511}">
          <x15:pivotFilter useWholeDay="1"/>
        </ext>
      </extLst>
    </filter>
  </filters>
  <rowHierarchiesUsage count="1">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irrus Logic - Case Tracker.xlsx!Cirrus_Tracker">
        <x15:activeTabTopLevelEntity name="[Cirrus_Track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05D9A2C-0473-4813-AF93-8B80376FFDCC}" name="PivotTable8" cacheId="215" applyNumberFormats="0" applyBorderFormats="0" applyFontFormats="0" applyPatternFormats="0" applyAlignmentFormats="0" applyWidthHeightFormats="1" dataCaption="Values" updatedVersion="8" minRefreshableVersion="3" useAutoFormatting="1" subtotalHiddenItems="1" itemPrintTitles="1" createdVersion="8" indent="0" compact="0" compactData="0" gridDropZones="1" multipleFieldFilters="0" chartFormat="18">
  <location ref="AF4:AJ17" firstHeaderRow="1" firstDataRow="2" firstDataCol="3"/>
  <pivotFields count="6">
    <pivotField compact="0" allDrilled="1" outline="0" subtotalTop="0" showAll="0"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dataField="1" compact="0" outline="0" subtotalTop="0" showAll="0" defaultSubtotal="0"/>
    <pivotField dataField="1" compact="0" outline="0" subtotalTop="0" showAll="0" defaultSubtotal="0"/>
    <pivotField axis="axisRow" compact="0" allDrilled="1" outline="0" subtotalTop="0" showAll="0" sortType="descending" defaultSubtotal="0" defaultAttributeDrillState="1">
      <items count="11">
        <item x="10"/>
        <item x="9"/>
        <item x="8"/>
        <item x="7"/>
        <item x="6"/>
        <item x="5"/>
        <item x="4"/>
        <item x="3"/>
        <item x="2"/>
        <item x="1"/>
        <item x="0"/>
      </items>
    </pivotField>
    <pivotField axis="axisRow" compact="0" allDrilled="1" outline="0" subtotalTop="0" showAll="0" dataSourceSort="1" defaultSubtotal="0" defaultAttributeDrillState="1">
      <items count="2">
        <item x="0"/>
        <item x="1"/>
      </items>
    </pivotField>
    <pivotField axis="axisRow" compact="0" allDrilled="1" outline="0" subtotalTop="0" showAll="0" dataSourceSort="1" defaultSubtotal="0" defaultAttributeDrillState="1">
      <items count="11">
        <item x="0"/>
        <item x="1"/>
        <item x="2"/>
        <item x="3"/>
        <item x="4"/>
        <item x="5"/>
        <item x="6"/>
        <item x="7"/>
        <item x="8"/>
        <item x="9"/>
        <item x="10"/>
      </items>
    </pivotField>
  </pivotFields>
  <rowFields count="3">
    <field x="3"/>
    <field x="5"/>
    <field x="4"/>
  </rowFields>
  <rowItems count="12">
    <i>
      <x/>
      <x v="10"/>
      <x v="1"/>
    </i>
    <i>
      <x v="1"/>
      <x v="9"/>
      <x v="1"/>
    </i>
    <i>
      <x v="2"/>
      <x v="8"/>
      <x v="1"/>
    </i>
    <i>
      <x v="3"/>
      <x v="7"/>
      <x/>
    </i>
    <i>
      <x v="4"/>
      <x v="6"/>
      <x/>
    </i>
    <i>
      <x v="5"/>
      <x v="5"/>
      <x/>
    </i>
    <i>
      <x v="6"/>
      <x v="4"/>
      <x/>
    </i>
    <i>
      <x v="7"/>
      <x v="3"/>
      <x/>
    </i>
    <i>
      <x v="8"/>
      <x v="2"/>
      <x/>
    </i>
    <i>
      <x v="9"/>
      <x v="1"/>
      <x/>
    </i>
    <i>
      <x v="10"/>
      <x/>
      <x/>
    </i>
    <i t="grand">
      <x/>
    </i>
  </rowItems>
  <colFields count="1">
    <field x="-2"/>
  </colFields>
  <colItems count="2">
    <i>
      <x/>
    </i>
    <i i="1">
      <x v="1"/>
    </i>
  </colItems>
  <dataFields count="2">
    <dataField name="Count of Listing ID" fld="1" subtotal="count" baseField="0" baseItem="0"/>
    <dataField name="Distinct Count of Seller" fld="2" subtotal="count" baseField="0" baseItem="0">
      <extLst>
        <ext xmlns:x15="http://schemas.microsoft.com/office/spreadsheetml/2010/11/main" uri="{FABC7310-3BB5-11E1-824E-6D434824019B}">
          <x15:dataField isCountDistinct="1"/>
        </ext>
      </extLst>
    </dataField>
  </dataFields>
  <chartFormats count="2">
    <chartFormat chart="0" format="0"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0"/>
          </reference>
        </references>
      </pivotArea>
    </chartFormat>
  </chartFormats>
  <pivotHierarchies count="53">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caption="Distinct Count of Seller"/>
    <pivotHierarchy dragToData="1"/>
    <pivotHierarchy dragToData="1"/>
  </pivotHierarchies>
  <pivotTableStyleInfo name="PivotStyleLight16" showRowHeaders="1" showColHeaders="1" showRowStripes="0" showColStripes="0" showLastColumn="1"/>
  <rowHierarchiesUsage count="3">
    <rowHierarchyUsage hierarchyUsage="1"/>
    <rowHierarchyUsage hierarchyUsage="41"/>
    <rowHierarchyUsage hierarchyUsage="4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irrus Logic - Case Tracker.xlsx!Cirrus_Tracker">
        <x15:activeTabTopLevelEntity name="[Cirrus_Track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C380246-E8DD-4A06-BEE5-5C78C6A51029}" name="Compliance" cacheId="203"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gridDropZones="1" multipleFieldFilters="0" chartFormat="10">
  <location ref="AC4:AD9" firstHeaderRow="2" firstDataRow="2" firstDataCol="1" rowPageCount="1" colPageCount="1"/>
  <pivotFields count="7">
    <pivotField compact="0" allDrilled="1" outline="0" subtotalTop="0" showAll="0"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sortType="descending" defaultSubtotal="0" defaultAttributeDrillState="1">
      <items count="20">
        <item x="0"/>
        <item x="1"/>
        <item x="2"/>
        <item x="3"/>
        <item x="4"/>
        <item x="5"/>
        <item x="6"/>
        <item x="7"/>
        <item x="8"/>
        <item x="9"/>
        <item x="10"/>
        <item x="11"/>
        <item x="12"/>
        <item x="13"/>
        <item x="14"/>
        <item x="15"/>
        <item x="16"/>
        <item x="17"/>
        <item x="18"/>
        <item x="19"/>
      </items>
      <autoSortScope>
        <pivotArea dataOnly="0" outline="0" fieldPosition="0">
          <references count="1">
            <reference field="4294967294" count="1" selected="0">
              <x v="0"/>
            </reference>
          </references>
        </pivotArea>
      </autoSortScope>
    </pivotField>
    <pivotField axis="axisPage" compact="0" allDrilled="1" outline="0" subtotalTop="0" showAll="0" dataSourceSort="1" defaultSubtotal="0" defaultAttributeDrillState="1"/>
    <pivotField axis="axisRow" compact="0" allDrilled="1" outline="0" subtotalTop="0" showAll="0"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4"/>
  </rowFields>
  <rowItems count="4">
    <i>
      <x v="2"/>
    </i>
    <i>
      <x/>
    </i>
    <i>
      <x v="1"/>
    </i>
    <i t="grand">
      <x/>
    </i>
  </rowItems>
  <colItems count="1">
    <i/>
  </colItems>
  <pageFields count="1">
    <pageField fld="3" hier="34" name="[Cirrus_Tracker].[Complaint Status].[All]" cap="All"/>
  </pageFields>
  <dataFields count="1">
    <dataField name="No. of URLs" fld="1" subtotal="count" baseField="0" baseItem="0"/>
  </dataFields>
  <chartFormats count="2">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s>
  <pivotHierarchies count="53">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Data="1" caption="No. of URLs"/>
    <pivotHierarchy dragToData="1"/>
    <pivotHierarchy dragToData="1" caption="No. of Sellers"/>
    <pivotHierarchy dragToData="1"/>
    <pivotHierarchy dragToData="1"/>
  </pivotHierarchies>
  <pivotTableStyleInfo name="PivotStyleLight16" showRowHeaders="1" showColHeaders="1" showRowStripes="0" showColStripes="0" showLastColumn="1"/>
  <filters count="1">
    <filter fld="5" type="dateBetween" evalOrder="-1" id="5" name="[Cirrus_Tracker].[Monitoring month]">
      <autoFilter ref="A1">
        <filterColumn colId="0">
          <customFilters and="1">
            <customFilter operator="greaterThanOrEqual" val="45658"/>
            <customFilter operator="lessThanOrEqual" val="46022"/>
          </customFilters>
        </filterColumn>
      </autoFilter>
      <extLst>
        <ext xmlns:x15="http://schemas.microsoft.com/office/spreadsheetml/2010/11/main" uri="{0605FD5F-26C8-4aeb-8148-2DB25E43C511}">
          <x15:pivotFilter useWholeDay="1"/>
        </ext>
      </extLst>
    </filter>
  </filters>
  <rowHierarchiesUsage count="1">
    <rowHierarchyUsage hierarchyUsage="3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irrus Logic - Case Tracker.xlsx!Cirrus_Tracker">
        <x15:activeTabTopLevelEntity name="[Cirrus_Tracker]"/>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OS_Type" xr10:uid="{17244DDC-5AFC-4109-99EF-B5570600137C}" sourceName="[Cirrus_Tracker].[POS Type]">
  <pivotTables>
    <pivotTable tabId="6" name="Pie_chart_Inf_Type"/>
    <pivotTable tabId="6" name="Compliance"/>
    <pivotTable tabId="6" name="Most_Infringed_Products"/>
    <pivotTable tabId="6" name="PivotTable8"/>
    <pivotTable tabId="4" name="Listings_Count"/>
    <pivotTable tabId="4" name="PivotTable9"/>
    <pivotTable tabId="4" name="Test_Purchase"/>
    <pivotTable tabId="4" name="PivotTable10"/>
  </pivotTables>
  <data>
    <olap pivotCacheId="1971598464">
      <levels count="2">
        <level uniqueName="[Cirrus_Tracker].[POS Type].[(All)]" sourceCaption="(All)" count="0"/>
        <level uniqueName="[Cirrus_Tracker].[POS Type].[POS Type]" sourceCaption="POS Type" count="2">
          <ranges>
            <range startItem="0">
              <i n="[Cirrus_Tracker].[POS Type].&amp;[Independent Website]" c="Independent Website"/>
              <i n="[Cirrus_Tracker].[POS Type].&amp;[Marketplace]" c="Marketplace"/>
            </range>
          </ranges>
        </level>
      </levels>
      <selections count="1">
        <selection n="[Cirrus_Tracker].[POS Typ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fringement_Type" xr10:uid="{4ED53B62-265F-4037-99D9-1CDA347F1BEE}" sourceName="[Cirrus_Tracker].[Infringement Type]">
  <pivotTables>
    <pivotTable tabId="6" name="Pie_chart_Inf_Type"/>
    <pivotTable tabId="6" name="Compliance"/>
    <pivotTable tabId="6" name="Most_Infringed_Products"/>
    <pivotTable tabId="6" name="PivotTable8"/>
    <pivotTable tabId="4" name="Listings_Count"/>
    <pivotTable tabId="4" name="PivotTable9"/>
    <pivotTable tabId="4" name="Test_Purchase"/>
  </pivotTables>
  <data>
    <olap pivotCacheId="1971598464">
      <levels count="2">
        <level uniqueName="[Cirrus_Tracker].[Infringement Type].[(All)]" sourceCaption="(All)" count="0"/>
        <level uniqueName="[Cirrus_Tracker].[Infringement Type].[Infringement Type]" sourceCaption="Infringement Type" count="5">
          <ranges>
            <range startItem="0">
              <i n="[Cirrus_Tracker].[Infringement Type].&amp;[Counterfeit - Unrealistic Inventory]" c="Counterfeit - Unrealistic Inventory"/>
              <i n="[Cirrus_Tracker].[Infringement Type].&amp;[Counterfeit - Variation]" c="Counterfeit - Variation"/>
              <i n="[Cirrus_Tracker].[Infringement Type].&amp;[Unauthorised use of Trademark]" c="Unauthorised use of Trademark"/>
              <i n="[Cirrus_Tracker].[Infringement Type].&amp;[Unauthorized use of Copyright image]" c="Unauthorized use of Copyright image"/>
              <i n="[Cirrus_Tracker].[Infringement Type].&amp;[Unauthorized use of Trademark Logo]" c="Unauthorized use of Trademark Logo"/>
            </range>
          </ranges>
        </level>
      </levels>
      <selections count="1">
        <selection n="[Cirrus_Tracker].[Infringement Typ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laint_Status" xr10:uid="{F76C5B5E-67D7-4D31-84BF-C0375A827C0B}" sourceName="[Cirrus_Tracker].[Complaint Status]">
  <pivotTables>
    <pivotTable tabId="6" name="Pie_chart_Inf_Type"/>
    <pivotTable tabId="6" name="Compliance"/>
    <pivotTable tabId="6" name="Most_Infringed_Products"/>
    <pivotTable tabId="6" name="PivotTable8"/>
    <pivotTable tabId="4" name="Listings_Count"/>
    <pivotTable tabId="4" name="PivotTable9"/>
    <pivotTable tabId="4" name="Test_Purchase"/>
    <pivotTable tabId="6" name="Most_Infringed_IW"/>
    <pivotTable tabId="6" name="Most_Infringed_mkt"/>
  </pivotTables>
  <data>
    <olap pivotCacheId="1971598464">
      <levels count="2">
        <level uniqueName="[Cirrus_Tracker].[Complaint Status].[(All)]" sourceCaption="(All)" count="0"/>
        <level uniqueName="[Cirrus_Tracker].[Complaint Status].[Complaint Status]" sourceCaption="Complaint Status" count="2">
          <ranges>
            <range startItem="0">
              <i n="[Cirrus_Tracker].[Complaint Status].&amp;[Filed]" c="Filed"/>
              <i n="[Cirrus_Tracker].[Complaint Status].&amp;[Not Filed]" c="Not Filed"/>
            </range>
          </ranges>
        </level>
      </levels>
      <selections count="1">
        <selection n="[Cirrus_Tracker].[Complaint Status].[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itoring_month__Month" xr10:uid="{1A768731-76C4-4CD1-9DC3-92B5BFD68C15}" sourceName="[Cirrus_Tracker].[Monitoring month (Month)]">
  <pivotTables>
    <pivotTable tabId="6" name="Pie_chart_Inf_Type"/>
    <pivotTable tabId="4" name="PivotTable10"/>
    <pivotTable tabId="6" name="Compliance"/>
    <pivotTable tabId="6" name="Most_Infringed_IW"/>
    <pivotTable tabId="6" name="Most_Infringed_mkt"/>
    <pivotTable tabId="6" name="Most_Infringed_Products"/>
    <pivotTable tabId="6" name="PivotTable8"/>
    <pivotTable tabId="4" name="Listings_Count"/>
    <pivotTable tabId="4" name="PivotTable9"/>
    <pivotTable tabId="4" name="Test_Purchase"/>
  </pivotTables>
  <data>
    <olap pivotCacheId="1971598464">
      <levels count="2">
        <level uniqueName="[Cirrus_Tracker].[Monitoring month (Month)].[(All)]" sourceCaption="(All)" count="0"/>
        <level uniqueName="[Cirrus_Tracker].[Monitoring month (Month)].[Monitoring month (Month)]" sourceCaption="Monitoring month (Month)" count="11">
          <ranges>
            <range startItem="0">
              <i n="[Cirrus_Tracker].[Monitoring month (Month)].&amp;[Jan]" c="Jan"/>
              <i n="[Cirrus_Tracker].[Monitoring month (Month)].&amp;[Feb]" c="Feb"/>
              <i n="[Cirrus_Tracker].[Monitoring month (Month)].&amp;[Mar]" c="Mar"/>
              <i n="[Cirrus_Tracker].[Monitoring month (Month)].&amp;[May]" c="May"/>
              <i n="[Cirrus_Tracker].[Monitoring month (Month)].&amp;[Jun]" c="Jun"/>
              <i n="[Cirrus_Tracker].[Monitoring month (Month)].&amp;[Jul]" c="Jul"/>
              <i n="[Cirrus_Tracker].[Monitoring month (Month)].&amp;[Aug]" c="Aug"/>
              <i n="[Cirrus_Tracker].[Monitoring month (Month)].&amp;[Sep]" c="Sep"/>
              <i n="[Cirrus_Tracker].[Monitoring month (Month)].&amp;[Oct]" c="Oct"/>
              <i n="[Cirrus_Tracker].[Monitoring month (Month)].&amp;[Nov]" c="Nov"/>
              <i n="[Cirrus_Tracker].[Monitoring month (Month)].&amp;[Dec]" c="Dec"/>
            </range>
          </ranges>
        </level>
      </levels>
      <selections count="1">
        <selection n="[Cirrus_Tracker].[Monitoring month (Month)].[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1E847F8E-B4EE-48A8-BAFD-2BCBFA4C147E}" sourceName="[Cirrus_Tracker].[Year]">
  <pivotTables>
    <pivotTable tabId="6" name="PivotTable8"/>
    <pivotTable tabId="6" name="Compliance"/>
    <pivotTable tabId="6" name="Most_Infringed_IW"/>
    <pivotTable tabId="6" name="Most_Infringed_mkt"/>
    <pivotTable tabId="6" name="Most_Infringed_Products"/>
    <pivotTable tabId="6" name="Pie_chart_Inf_Type"/>
    <pivotTable tabId="4" name="Listings_Count"/>
    <pivotTable tabId="4" name="PivotTable9"/>
    <pivotTable tabId="4" name="Test_Purchase"/>
    <pivotTable tabId="4" name="PivotTable10"/>
  </pivotTables>
  <data>
    <olap pivotCacheId="1971598464">
      <levels count="2">
        <level uniqueName="[Cirrus_Tracker].[Year].[(All)]" sourceCaption="(All)" count="0"/>
        <level uniqueName="[Cirrus_Tracker].[Year].[Year]" sourceCaption="Year" count="2">
          <ranges>
            <range startItem="0">
              <i n="[Cirrus_Tracker].[Year].&amp;[2025]" c="2025"/>
              <i n="[Cirrus_Tracker].[Year].&amp;[2026]" c="2026"/>
            </range>
          </ranges>
        </level>
      </levels>
      <selections count="1">
        <selection n="[Cirrus_Tracker].[Yea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OS Type 1" xr10:uid="{241E5729-D540-424E-B2E7-8CF757ADA5BD}" cache="Slicer_POS_Type" caption="POS Type" level="1" style="SlicerStyleLight2" lockedPosition="1" rowHeight="247650"/>
  <slicer name="Infringement Type 1" xr10:uid="{AF3E9F98-AAB5-41AB-817D-D1AF5C0A9194}" cache="Slicer_Infringement_Type" caption="Infringement Type" columnCount="3" level="1" style="SlicerStyleLight2" rowHeight="247650"/>
  <slicer name="Complaint Status 1" xr10:uid="{C1CB97C7-F307-4A92-B474-C92BA0DD1D4B}" cache="Slicer_Complaint_Status" caption="Complaint Status" columnCount="2" level="1" style="SlicerStyleLight2" lockedPosition="1" rowHeight="247650"/>
  <slicer name="Monitoring month (Month) 1" xr10:uid="{4F190731-11C2-4AB7-B862-E97367DED366}" cache="Slicer_Monitoring_month__Month" caption="Monitoring Month" columnCount="2" level="1" style="SlicerStyleLight2" lockedPosition="1" rowHeight="247650"/>
  <slicer name="Year 1" xr10:uid="{B4A670ED-4265-409D-A8EB-C59CDD35D21E}" cache="Slicer_Year" caption="Year" columnCount="2" level="1" style="SlicerStyleLight2" lockedPosition="1"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18E111C-AFF9-4586-938B-E8C1A8E750FA}" name="Cirrus_Tracker" displayName="Cirrus_Tracker" ref="A1:AP252" totalsRowShown="0" headerRowDxfId="46" headerRowBorderDxfId="45" tableBorderDxfId="44" totalsRowBorderDxfId="43">
  <tableColumns count="42">
    <tableColumn id="1" xr3:uid="{B44CAD31-6DBA-43C7-A759-53272F988EC6}" name="Listing ID" dataDxfId="42"/>
    <tableColumn id="2" xr3:uid="{19526C17-76BC-4795-B821-F9E8E33810AF}" name="Monitoring month" dataDxfId="41"/>
    <tableColumn id="3" xr3:uid="{DA018E0E-530F-48F1-8B23-7CD2104CAC2F}" name="Year" dataDxfId="40"/>
    <tableColumn id="4" xr3:uid="{7FA5780D-4164-4C0A-B08A-4E9604484668}" name="Platform country" dataDxfId="39"/>
    <tableColumn id="5" xr3:uid="{3D98A75B-0FF8-4ABB-BBDD-A231D2D4DE0F}" name="POS Type" dataDxfId="38"/>
    <tableColumn id="6" xr3:uid="{466B4864-E932-45B5-9725-B4543E2EFCB2}" name="Platform group" dataDxfId="37"/>
    <tableColumn id="7" xr3:uid="{B8AFE268-CAF8-4596-954C-AD8BBCFD2E77}" name="Platform" dataDxfId="36"/>
    <tableColumn id="39" xr3:uid="{A7559609-F733-4DA6-8CE5-74E3D99A4041}" name="Seller Flagged" dataDxfId="35"/>
    <tableColumn id="40" xr3:uid="{771CE0A5-98D0-49EB-847D-0112FB430A3A}" name="Repeat Infringer" dataDxfId="34"/>
    <tableColumn id="8" xr3:uid="{44CC6763-19FC-42E3-BE4F-FD1AF07C4CDD}" name="Seller" dataDxfId="33"/>
    <tableColumn id="9" xr3:uid="{AD3C37F7-1EA5-42B3-933F-F99F82409FA0}" name="Store URL" dataDxfId="32"/>
    <tableColumn id="10" xr3:uid="{11047F42-BE26-4A26-8F08-A5269D5055C7}" name="Seller Business Type" dataDxfId="31"/>
    <tableColumn id="11" xr3:uid="{4940E8CF-714C-4F26-B82C-8C11F5EE310D}" name="Seller address" dataDxfId="30"/>
    <tableColumn id="12" xr3:uid="{2AB55733-58D3-49A0-9D3E-A60EA8E66837}" name="Seller contact info" dataDxfId="29"/>
    <tableColumn id="13" xr3:uid="{C8FBB873-BB20-4BE3-A78A-1552346CC37B}" name="Product Code" dataDxfId="28"/>
    <tableColumn id="42" xr3:uid="{10A83610-EF45-47F8-97FC-F6601AABAECA}" name="Packmarks" dataDxfId="27"/>
    <tableColumn id="14" xr3:uid="{95A30F41-3F3C-48F8-ACB3-DC38943BBCC5}" name="Listing URL" dataDxfId="26"/>
    <tableColumn id="15" xr3:uid="{D3DE214B-5CD2-4629-8A9B-4B0CF3EE7EEB}" name="Item No." dataDxfId="25"/>
    <tableColumn id="16" xr3:uid="{190009BD-F7D8-496C-BD87-9EEDC3EC9F3F}" name="Product title" dataDxfId="24"/>
    <tableColumn id="17" xr3:uid="{A13DAABB-9DFA-4DC2-975E-4722534FC5F9}" name="Advertised_x000a_Price" dataDxfId="23"/>
    <tableColumn id="18" xr3:uid="{36708379-E6CE-4C70-8118-47470D449307}" name="Currency" dataDxfId="22"/>
    <tableColumn id="19" xr3:uid="{01D29080-95A4-4056-8BBC-9FBE676EF709}" name="Advertised Price _x000a_(USD)" dataDxfId="21"/>
    <tableColumn id="20" xr3:uid="{A48D7AFF-4E52-46DA-807F-B26929C1268E}" name="Official Price_x000a_(USD)" dataDxfId="20"/>
    <tableColumn id="21" xr3:uid="{2C0462E0-070A-4A7D-B50F-43B77244B5C9}" name="Discount_x000a_%" dataDxfId="19" dataCellStyle="Percent"/>
    <tableColumn id="22" xr3:uid="{EAB4C4F2-F47D-4152-BC04-D3F9174BD226}" name="Stock (Units)" dataDxfId="18"/>
    <tableColumn id="23" xr3:uid="{17ADA6FA-FBCD-49DB-9F1C-5F1F5C30C517}" name="ATX Review Result" dataDxfId="17"/>
    <tableColumn id="24" xr3:uid="{72776304-E10A-4AA9-8178-AB3E4358A45A}" name="Infringement Type" dataDxfId="16"/>
    <tableColumn id="25" xr3:uid="{639D4AB4-6972-4D7B-BAB9-759A632E2B7C}" name="Risk indicator/Remarks" dataDxfId="15"/>
    <tableColumn id="26" xr3:uid="{68F29D11-E630-4CA5-84BB-34AE4DE24547}" name="Complaint Draft/Evidence_x000a_(PPT Slide Reference)" dataDxfId="14" dataCellStyle="Hyperlink"/>
    <tableColumn id="27" xr3:uid="{00AE6463-5537-482C-81E3-14635792AB2B}" name="Feedback from ABC Company team" dataDxfId="13"/>
    <tableColumn id="28" xr3:uid="{75094B30-9FA2-4D22-99E9-95B88B6A83F5}" name="Test buy conducted (Yes/No)" dataDxfId="12"/>
    <tableColumn id="29" xr3:uid="{4B0DEE5E-D092-443A-9907-65E8FF166FCD}" name="Test buy date" dataDxfId="11"/>
    <tableColumn id="30" xr3:uid="{1FE83DE9-11C7-456E-B313-9240BE31A8D6}" name="Test Buy Status" dataDxfId="10"/>
    <tableColumn id="31" xr3:uid="{4C43BF2C-784B-4A95-AAB1-D3A240B9B79B}" name="Test buy result" dataDxfId="9"/>
    <tableColumn id="32" xr3:uid="{6253807D-3300-46B8-A791-C907ED00661A}" name="Complaint Status" dataDxfId="8"/>
    <tableColumn id="33" xr3:uid="{5A43284C-0DC2-4807-AAA3-083C109D34A7}" name="Not Filed Reason" dataDxfId="7"/>
    <tableColumn id="34" xr3:uid="{54F6BD38-B282-4AB2-8F04-A2147DAF2B49}" name="Complaint Date" dataDxfId="6"/>
    <tableColumn id="35" xr3:uid="{14595A38-B0C3-45EA-A518-769162BFDF4B}" name="Complaint ID" dataDxfId="5"/>
    <tableColumn id="36" xr3:uid="{696B9DF8-C114-4D78-B656-CFB571690415}" name="Takedown Status" dataDxfId="4"/>
    <tableColumn id="37" xr3:uid="{2645D366-DFAF-4E58-9B70-DAD44865CC10}" name="Takedown Date" dataDxfId="3"/>
    <tableColumn id="38" xr3:uid="{CCD5C98C-02D0-427B-80BE-80866436DE27}" name="Next steps" dataDxfId="2"/>
    <tableColumn id="41" xr3:uid="{1FC326F9-F8B4-4AC4-AD16-B322DE273ACF}" name="ATX remark on next steps"/>
  </tableColumns>
  <tableStyleInfo name="TableStyleMedium2"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pivotTable" Target="../pivotTables/pivotTable10.xml"/><Relationship Id="rId5" Type="http://schemas.openxmlformats.org/officeDocument/2006/relationships/pivotTable" Target="../pivotTables/pivotTable9.xml"/><Relationship Id="rId4" Type="http://schemas.openxmlformats.org/officeDocument/2006/relationships/pivotTable" Target="../pivotTables/pivotTable8.xml"/></Relationships>
</file>

<file path=xl/worksheets/_rels/sheet4.xml.rels><?xml version="1.0" encoding="UTF-8" standalone="yes"?>
<Relationships xmlns="http://schemas.openxmlformats.org/package/2006/relationships"><Relationship Id="rId8" Type="http://schemas.openxmlformats.org/officeDocument/2006/relationships/hyperlink" Target="https://www.alibaba.com/product-detail/CS3003-FNZ-8-QFN-IC-INST_1601625261755.html" TargetMode="External"/><Relationship Id="rId13" Type="http://schemas.openxmlformats.org/officeDocument/2006/relationships/table" Target="../tables/table1.xml"/><Relationship Id="rId3" Type="http://schemas.openxmlformats.org/officeDocument/2006/relationships/hyperlink" Target="https://digking.en.alibaba.com/index.html" TargetMode="External"/><Relationship Id="rId7" Type="http://schemas.openxmlformats.org/officeDocument/2006/relationships/hyperlink" Target="https://www.alibaba.com/product-detail/Chip-CS3003-FNZ-8-QFN-Buy_1601602758561.html" TargetMode="External"/><Relationship Id="rId12" Type="http://schemas.openxmlformats.org/officeDocument/2006/relationships/vmlDrawing" Target="../drawings/vmlDrawing1.vml"/><Relationship Id="rId2" Type="http://schemas.openxmlformats.org/officeDocument/2006/relationships/hyperlink" Target="../../../../../:p:/r/sites/client-cirruslogic/Shared%20Documents/Draft%20Complaints/Cirrus%20logic%20-%20HVTs%20-%20Addtional%20Inf.%20listings%20Authentix%20-%2012%20complaints%20-%20Drafts%20Updated.pptx?d=w6f1cfad0d3b7411e850c4c75c5a97d11&amp;csf=1&amp;web=1&amp;e=jXjJoa" TargetMode="External"/><Relationship Id="rId1" Type="http://schemas.openxmlformats.org/officeDocument/2006/relationships/hyperlink" Target="../../../../../:p:/r/sites/client-cirruslogic/Shared%20Documents/Draft%20Complaints/Cirrus%20logic%20-%20HVTs%20-%20Addtional%20Inf.%20listings%20Authentix%20-%2012%20complaints%20-%20Drafts%20Updated.pptx?d=w6f1cfad0d3b7411e850c4c75c5a97d11&amp;csf=1&amp;web=1&amp;e=jXjJoa" TargetMode="External"/><Relationship Id="rId6" Type="http://schemas.openxmlformats.org/officeDocument/2006/relationships/hyperlink" Target="https://www.alibaba.com/product-detail/CS3003-FNZ-BOM-Service-IC-INST_1601233718225.html" TargetMode="External"/><Relationship Id="rId11" Type="http://schemas.openxmlformats.org/officeDocument/2006/relationships/printerSettings" Target="../printerSettings/printerSettings1.bin"/><Relationship Id="rId5" Type="http://schemas.openxmlformats.org/officeDocument/2006/relationships/hyperlink" Target="https://chinachipsun.en.made-in-china.com/product/pxSYnEvyHkWj/China-Chipsun-Integrated-Circuit-Best-Service-CS8421-Czz-Digital-Audio-Interfacing.html" TargetMode="External"/><Relationship Id="rId10" Type="http://schemas.openxmlformats.org/officeDocument/2006/relationships/hyperlink" Target="https://www.gys.cn/jichengdianluic/5387789904.html" TargetMode="External"/><Relationship Id="rId4" Type="http://schemas.openxmlformats.org/officeDocument/2006/relationships/hyperlink" Target="https://biguangtech.en.alibaba.com/index.html" TargetMode="External"/><Relationship Id="rId9" Type="http://schemas.openxmlformats.org/officeDocument/2006/relationships/hyperlink" Target="https://www.alibaba.com/product-detail/Buy-Electronics-Components-Online-8-QFN_1601662374328.html" TargetMode="External"/><Relationship Id="rId1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7C77B-EB93-4A32-8CA4-41A867A30D4C}">
  <sheetPr codeName="Sheet5"/>
  <dimension ref="A1:O41"/>
  <sheetViews>
    <sheetView showGridLines="0" tabSelected="1" zoomScale="70" zoomScaleNormal="70" workbookViewId="0">
      <selection activeCell="Q9" sqref="Q9"/>
    </sheetView>
  </sheetViews>
  <sheetFormatPr defaultRowHeight="14.25" x14ac:dyDescent="0.45"/>
  <cols>
    <col min="7" max="11" width="16.6640625" customWidth="1"/>
    <col min="12" max="12" width="15.53125" customWidth="1"/>
    <col min="13" max="13" width="17" customWidth="1"/>
    <col min="14" max="14" width="12.53125" customWidth="1"/>
    <col min="16" max="16" width="8.86328125" customWidth="1"/>
    <col min="17" max="17" width="27.33203125" customWidth="1"/>
  </cols>
  <sheetData>
    <row r="1" spans="1:15" x14ac:dyDescent="0.45">
      <c r="A1" s="79"/>
      <c r="B1" s="79"/>
      <c r="C1" s="79"/>
      <c r="D1" s="79"/>
      <c r="E1" s="79"/>
      <c r="F1" s="79"/>
      <c r="G1" s="79"/>
      <c r="H1" s="79"/>
      <c r="I1" s="79"/>
      <c r="J1" s="79"/>
      <c r="K1" s="146"/>
      <c r="L1" s="146"/>
      <c r="M1" s="146"/>
      <c r="N1" s="146"/>
      <c r="O1" s="79"/>
    </row>
    <row r="2" spans="1:15" ht="14.45" customHeight="1" x14ac:dyDescent="0.45">
      <c r="A2" s="79"/>
      <c r="B2" s="79"/>
      <c r="C2" s="79"/>
      <c r="D2" s="79"/>
      <c r="E2" s="79"/>
      <c r="F2" s="79"/>
      <c r="G2" s="79"/>
      <c r="H2" s="79"/>
      <c r="I2" s="79"/>
      <c r="J2" s="79"/>
      <c r="K2" s="146"/>
      <c r="L2" s="146"/>
      <c r="M2" s="146"/>
      <c r="N2" s="146"/>
      <c r="O2" s="79"/>
    </row>
    <row r="3" spans="1:15" ht="14.45" customHeight="1" x14ac:dyDescent="0.45">
      <c r="A3" s="79"/>
      <c r="B3" s="79"/>
      <c r="C3" s="79"/>
      <c r="D3" s="79"/>
      <c r="E3" s="79"/>
      <c r="F3" s="79"/>
      <c r="G3" s="79"/>
      <c r="H3" s="79"/>
      <c r="I3" s="79"/>
      <c r="J3" s="79"/>
      <c r="K3" s="87"/>
      <c r="L3" s="87"/>
      <c r="M3" s="87"/>
      <c r="N3" s="87"/>
      <c r="O3" s="79"/>
    </row>
    <row r="4" spans="1:15" x14ac:dyDescent="0.45">
      <c r="A4" s="79"/>
      <c r="B4" s="79"/>
      <c r="C4" s="79"/>
      <c r="D4" s="79"/>
      <c r="E4" s="79"/>
      <c r="F4" s="79"/>
      <c r="G4" s="79"/>
      <c r="H4" s="79"/>
      <c r="I4" s="79"/>
      <c r="J4" s="79"/>
      <c r="K4" s="79"/>
      <c r="L4" s="79"/>
      <c r="M4" s="79"/>
      <c r="N4" s="79"/>
      <c r="O4" s="79"/>
    </row>
    <row r="5" spans="1:15" x14ac:dyDescent="0.45">
      <c r="A5" s="79"/>
      <c r="B5" s="79"/>
      <c r="C5" s="79"/>
      <c r="D5" s="79"/>
      <c r="E5" s="79"/>
      <c r="F5" s="79"/>
      <c r="G5" s="79"/>
      <c r="H5" s="79"/>
      <c r="I5" s="79"/>
      <c r="J5" s="79"/>
      <c r="K5" s="79"/>
      <c r="L5" s="79"/>
      <c r="M5" s="79"/>
      <c r="N5" s="79"/>
      <c r="O5" s="79"/>
    </row>
    <row r="6" spans="1:15" x14ac:dyDescent="0.45">
      <c r="A6" s="79"/>
      <c r="B6" s="79"/>
      <c r="C6" s="79"/>
      <c r="D6" s="79"/>
      <c r="E6" s="79"/>
      <c r="F6" s="79"/>
      <c r="G6" s="79"/>
      <c r="H6" s="79"/>
      <c r="I6" s="79"/>
      <c r="J6" s="79"/>
      <c r="K6" s="79"/>
      <c r="L6" s="79"/>
      <c r="M6" s="79"/>
      <c r="N6" s="79"/>
      <c r="O6" s="79"/>
    </row>
    <row r="7" spans="1:15" x14ac:dyDescent="0.45">
      <c r="A7" s="79"/>
      <c r="B7" s="79"/>
      <c r="C7" s="79"/>
      <c r="D7" s="79"/>
      <c r="E7" s="79"/>
      <c r="F7" s="79"/>
      <c r="G7" s="79"/>
      <c r="H7" s="79"/>
      <c r="I7" s="79"/>
      <c r="J7" s="79"/>
      <c r="K7" s="79"/>
      <c r="L7" s="79"/>
      <c r="M7" s="79"/>
      <c r="N7" s="79"/>
      <c r="O7" s="79"/>
    </row>
    <row r="8" spans="1:15" ht="14.65" thickBot="1" x14ac:dyDescent="0.5">
      <c r="A8" s="79"/>
      <c r="B8" s="79"/>
      <c r="C8" s="79"/>
      <c r="D8" s="79"/>
      <c r="E8" s="79"/>
      <c r="F8" s="79"/>
      <c r="G8" s="79"/>
      <c r="H8" s="79"/>
      <c r="I8" s="79"/>
      <c r="J8" s="79"/>
      <c r="K8" s="79"/>
      <c r="L8" s="79"/>
      <c r="M8" s="79"/>
      <c r="N8" s="79"/>
      <c r="O8" s="79"/>
    </row>
    <row r="9" spans="1:15" ht="23.25" x14ac:dyDescent="0.45">
      <c r="A9" s="79"/>
      <c r="B9" s="79"/>
      <c r="C9" s="79"/>
      <c r="D9" s="79"/>
      <c r="E9" s="147" t="s">
        <v>61</v>
      </c>
      <c r="F9" s="148"/>
      <c r="G9" s="151" t="s">
        <v>19</v>
      </c>
      <c r="H9" s="152"/>
      <c r="I9" s="152"/>
      <c r="J9" s="152"/>
      <c r="K9" s="153"/>
      <c r="L9" s="154" t="s">
        <v>62</v>
      </c>
      <c r="M9" s="155"/>
      <c r="N9" s="156"/>
      <c r="O9" s="79"/>
    </row>
    <row r="10" spans="1:15" ht="33.6" customHeight="1" x14ac:dyDescent="0.45">
      <c r="A10" s="79"/>
      <c r="B10" s="79"/>
      <c r="C10" s="79"/>
      <c r="D10" s="79"/>
      <c r="E10" s="149"/>
      <c r="F10" s="150"/>
      <c r="G10" s="83" t="s">
        <v>63</v>
      </c>
      <c r="H10" s="84" t="s">
        <v>64</v>
      </c>
      <c r="I10" s="85" t="s">
        <v>65</v>
      </c>
      <c r="J10" s="80" t="s">
        <v>66</v>
      </c>
      <c r="K10" s="86" t="s">
        <v>67</v>
      </c>
      <c r="L10" s="73" t="s">
        <v>68</v>
      </c>
      <c r="M10" s="74" t="s">
        <v>69</v>
      </c>
      <c r="N10" s="75" t="s">
        <v>70</v>
      </c>
      <c r="O10" s="79"/>
    </row>
    <row r="11" spans="1:15" ht="37.5" thickBot="1" x14ac:dyDescent="1.2">
      <c r="A11" s="79"/>
      <c r="B11" s="79"/>
      <c r="C11" s="79"/>
      <c r="D11" s="79"/>
      <c r="E11" s="157">
        <f>IFERROR(GETPIVOTDATA("[Measures].[Distinct Count of Seller]",Tables!$A$3),"NA")</f>
        <v>85</v>
      </c>
      <c r="F11" s="158"/>
      <c r="G11" s="81">
        <f>IFERROR(GETPIVOTDATA("[Measures].[Count of Listing ID]",Tables!$A$3),"NA")</f>
        <v>251</v>
      </c>
      <c r="H11" s="70">
        <f>IFERROR(GETPIVOTDATA("[Measures].[Count of Listing ID]",Tables!$A$3,"[Cirrus_Tracker].[Complaint Status]","[Cirrus_Tracker].[Complaint Status].&amp;[Filed]"),"NA")</f>
        <v>191</v>
      </c>
      <c r="I11" s="71">
        <f>IFERROR(GETPIVOTDATA("[Measures].[Count of Listing ID]",Tables!$A$31),"NA")</f>
        <v>179</v>
      </c>
      <c r="J11" s="72">
        <f>IFERROR(I11/H11,"NA")</f>
        <v>0.93717277486910999</v>
      </c>
      <c r="K11" s="82">
        <f>IFERROR(GETPIVOTDATA("[Measures].[Count of Listing ID]",Tables!$A$3,"[Cirrus_Tracker].[Complaint Status]","[Cirrus_Tracker].[Complaint Status].&amp;[Not Filed]"),"NA")</f>
        <v>60</v>
      </c>
      <c r="L11" s="76">
        <f>IFERROR(GETPIVOTDATA("[Measures].[Count of Listing ID]",Tables!$A$11),"NA")</f>
        <v>7</v>
      </c>
      <c r="M11" s="77">
        <f>IFERROR(GETPIVOTDATA("[Measures].[Count of Listing ID]",Tables!$A$11,"[Cirrus_Tracker].[Test buy conducted (Yes/No)]","[Cirrus_Tracker].[Test buy conducted (Yes/No)].&amp;[Yes]"),"NA")</f>
        <v>6</v>
      </c>
      <c r="N11" s="78">
        <f>IFERROR(GETPIVOTDATA("[Measures].[Count of Listing ID]",Tables!$A$11)-GETPIVOTDATA("[Measures].[Count of Listing ID]",Tables!$A$11,"[Cirrus_Tracker].[Test buy result]","[Cirrus_Tracker].[Test buy result].&amp;"),"NA")</f>
        <v>4</v>
      </c>
      <c r="O11" s="79"/>
    </row>
    <row r="12" spans="1:15" x14ac:dyDescent="0.45">
      <c r="A12" s="79"/>
      <c r="B12" s="79"/>
      <c r="C12" s="79"/>
      <c r="D12" s="79"/>
      <c r="E12" s="79"/>
      <c r="F12" s="79"/>
      <c r="G12" s="79"/>
      <c r="H12" s="79"/>
      <c r="I12" s="79"/>
      <c r="J12" s="79"/>
      <c r="K12" s="79"/>
      <c r="L12" s="79"/>
      <c r="M12" s="79"/>
      <c r="N12" s="79"/>
      <c r="O12" s="79"/>
    </row>
    <row r="13" spans="1:15" x14ac:dyDescent="0.45">
      <c r="A13" s="79"/>
      <c r="B13" s="79"/>
      <c r="C13" s="79"/>
      <c r="D13" s="79"/>
      <c r="E13" s="79"/>
      <c r="F13" s="79"/>
      <c r="G13" s="79"/>
      <c r="H13" s="79"/>
      <c r="I13" s="79"/>
      <c r="J13" s="79"/>
      <c r="K13" s="79"/>
      <c r="L13" s="79"/>
      <c r="M13" s="79"/>
      <c r="N13" s="79"/>
      <c r="O13" s="79"/>
    </row>
    <row r="14" spans="1:15" ht="28.25" customHeight="1" thickBot="1" x14ac:dyDescent="0.5">
      <c r="A14" s="79"/>
      <c r="B14" s="79"/>
      <c r="C14" s="79"/>
      <c r="D14" s="79"/>
      <c r="E14" s="79"/>
      <c r="F14" s="79"/>
      <c r="G14" s="79"/>
      <c r="H14" s="79"/>
      <c r="I14" s="79"/>
      <c r="J14" s="79"/>
      <c r="K14" s="159" t="s">
        <v>18</v>
      </c>
      <c r="L14" s="159"/>
      <c r="M14" s="159"/>
      <c r="N14" s="131" t="s">
        <v>26</v>
      </c>
      <c r="O14" s="79"/>
    </row>
    <row r="15" spans="1:15" ht="18" x14ac:dyDescent="0.45">
      <c r="A15" s="79"/>
      <c r="B15" s="79"/>
      <c r="C15" s="79"/>
      <c r="D15" s="79"/>
      <c r="E15" s="79"/>
      <c r="F15" s="79"/>
      <c r="G15" s="79"/>
      <c r="H15" s="79"/>
      <c r="I15" s="79"/>
      <c r="J15" s="79"/>
      <c r="K15" s="162" t="str">
        <f>IF(Tables!E41=0,"NA",Tables!E41)</f>
        <v>Awaiting ABC Company team Confirmation</v>
      </c>
      <c r="L15" s="162"/>
      <c r="M15" s="163"/>
      <c r="N15" s="132">
        <f>IF(Tables!F41=0,"NA",Tables!F41)</f>
        <v>35</v>
      </c>
      <c r="O15" s="79"/>
    </row>
    <row r="16" spans="1:15" ht="18" x14ac:dyDescent="0.45">
      <c r="A16" s="79"/>
      <c r="B16" s="79"/>
      <c r="C16" s="79"/>
      <c r="D16" s="79"/>
      <c r="E16" s="79"/>
      <c r="F16" s="79"/>
      <c r="G16" s="79"/>
      <c r="H16" s="79"/>
      <c r="I16" s="79"/>
      <c r="J16" s="79"/>
      <c r="K16" s="164" t="str">
        <f>IF(Tables!E42=0,"NA",Tables!E42)</f>
        <v>Not to be filed as per ABC Company team instructions</v>
      </c>
      <c r="L16" s="164"/>
      <c r="M16" s="165"/>
      <c r="N16" s="133">
        <f>IF(Tables!F42=0,"NA",Tables!F42)</f>
        <v>9</v>
      </c>
      <c r="O16" s="79"/>
    </row>
    <row r="17" spans="1:15" ht="18" x14ac:dyDescent="0.45">
      <c r="A17" s="79"/>
      <c r="B17" s="79"/>
      <c r="C17" s="79"/>
      <c r="D17" s="79"/>
      <c r="E17" s="79"/>
      <c r="F17" s="79"/>
      <c r="G17" s="79"/>
      <c r="H17" s="79"/>
      <c r="I17" s="79"/>
      <c r="J17" s="79"/>
      <c r="K17" s="166" t="str">
        <f>IF(Tables!E43=0,"NA",Tables!E43)</f>
        <v>Inactive prior enforcement</v>
      </c>
      <c r="L17" s="166"/>
      <c r="M17" s="167"/>
      <c r="N17" s="134">
        <f>IF(Tables!F43=0,"NA",Tables!F43)</f>
        <v>9</v>
      </c>
      <c r="O17" s="79"/>
    </row>
    <row r="18" spans="1:15" ht="18" x14ac:dyDescent="0.45">
      <c r="A18" s="79"/>
      <c r="B18" s="79"/>
      <c r="C18" s="79"/>
      <c r="D18" s="79"/>
      <c r="E18" s="79"/>
      <c r="F18" s="79"/>
      <c r="G18" s="79"/>
      <c r="H18" s="79"/>
      <c r="I18" s="79"/>
      <c r="J18" s="79"/>
      <c r="K18" s="164" t="str">
        <f>IF(Tables!E44=0,"NA",Tables!E44)</f>
        <v>ABC Company Team evaluating Test-Purchased product</v>
      </c>
      <c r="L18" s="164"/>
      <c r="M18" s="165"/>
      <c r="N18" s="133">
        <f>IF(Tables!F44=0,"NA",Tables!F44)</f>
        <v>3</v>
      </c>
      <c r="O18" s="79"/>
    </row>
    <row r="19" spans="1:15" ht="18" x14ac:dyDescent="0.45">
      <c r="A19" s="79"/>
      <c r="B19" s="79"/>
      <c r="C19" s="79"/>
      <c r="D19" s="79"/>
      <c r="E19" s="79"/>
      <c r="F19" s="79"/>
      <c r="G19" s="79"/>
      <c r="H19" s="79"/>
      <c r="I19" s="79"/>
      <c r="J19" s="79"/>
      <c r="K19" s="166" t="str">
        <f>IF(Tables!E45=0,"NA",Tables!E45)</f>
        <v>Infringement Removed prior to enforcement</v>
      </c>
      <c r="L19" s="166"/>
      <c r="M19" s="167"/>
      <c r="N19" s="134">
        <f>IF(Tables!F45=0,"NA",Tables!F45)</f>
        <v>3</v>
      </c>
      <c r="O19" s="79"/>
    </row>
    <row r="20" spans="1:15" ht="18.399999999999999" thickBot="1" x14ac:dyDescent="0.5">
      <c r="A20" s="79"/>
      <c r="B20" s="79"/>
      <c r="C20" s="79"/>
      <c r="D20" s="79"/>
      <c r="E20" s="79"/>
      <c r="F20" s="79"/>
      <c r="G20" s="79"/>
      <c r="H20" s="79"/>
      <c r="I20" s="79"/>
      <c r="J20" s="79"/>
      <c r="K20" s="168" t="str">
        <f>IF(Tables!E46=0,"NA",Tables!E46)</f>
        <v>Authentic Product - Not to be filed</v>
      </c>
      <c r="L20" s="168"/>
      <c r="M20" s="169"/>
      <c r="N20" s="133">
        <f>IF(Tables!F46=0,"NA",Tables!F46)</f>
        <v>1</v>
      </c>
      <c r="O20" s="79"/>
    </row>
    <row r="21" spans="1:15" ht="18.600000000000001" customHeight="1" x14ac:dyDescent="0.45">
      <c r="A21" s="79"/>
      <c r="B21" s="79"/>
      <c r="C21" s="79"/>
      <c r="D21" s="79"/>
      <c r="E21" s="79"/>
      <c r="F21" s="79"/>
      <c r="G21" s="79"/>
      <c r="H21" s="79"/>
      <c r="I21" s="79"/>
      <c r="J21" s="79"/>
      <c r="K21" s="160" t="str">
        <f>IF(Tables!E47=0,"NA",Tables!E47)</f>
        <v>Grand Total</v>
      </c>
      <c r="L21" s="160"/>
      <c r="M21" s="160"/>
      <c r="N21" s="135">
        <f>IF(Tables!F47=0,"NA",Tables!F47)</f>
        <v>60</v>
      </c>
      <c r="O21" s="79"/>
    </row>
    <row r="22" spans="1:15" x14ac:dyDescent="0.45">
      <c r="A22" s="79"/>
      <c r="B22" s="79"/>
      <c r="C22" s="79"/>
      <c r="D22" s="79"/>
      <c r="E22" s="79"/>
      <c r="F22" s="79"/>
      <c r="G22" s="79"/>
      <c r="H22" s="79"/>
      <c r="I22" s="79"/>
      <c r="J22" s="79"/>
      <c r="K22" s="161"/>
      <c r="L22" s="161"/>
      <c r="M22" s="161"/>
      <c r="N22" s="79"/>
      <c r="O22" s="79"/>
    </row>
    <row r="23" spans="1:15" x14ac:dyDescent="0.45">
      <c r="A23" s="79"/>
      <c r="B23" s="79"/>
      <c r="C23" s="79"/>
      <c r="D23" s="79"/>
      <c r="E23" s="79"/>
      <c r="F23" s="79"/>
      <c r="G23" s="79"/>
      <c r="H23" s="79"/>
      <c r="I23" s="79"/>
      <c r="J23" s="79"/>
      <c r="K23" s="161"/>
      <c r="L23" s="161"/>
      <c r="M23" s="161"/>
      <c r="N23" s="79"/>
      <c r="O23" s="79"/>
    </row>
    <row r="24" spans="1:15" x14ac:dyDescent="0.45">
      <c r="A24" s="79"/>
      <c r="B24" s="79"/>
      <c r="C24" s="79"/>
      <c r="D24" s="79"/>
      <c r="E24" s="79"/>
      <c r="F24" s="79"/>
      <c r="G24" s="79"/>
      <c r="H24" s="79"/>
      <c r="I24" s="79"/>
      <c r="J24" s="79"/>
      <c r="K24" s="79"/>
      <c r="L24" s="79"/>
      <c r="M24" s="79"/>
      <c r="N24" s="79"/>
      <c r="O24" s="79"/>
    </row>
    <row r="25" spans="1:15" x14ac:dyDescent="0.45">
      <c r="A25" s="79"/>
      <c r="B25" s="79"/>
      <c r="C25" s="79"/>
      <c r="D25" s="79"/>
      <c r="E25" s="79"/>
      <c r="F25" s="79"/>
      <c r="G25" s="79"/>
      <c r="H25" s="79"/>
      <c r="I25" s="79"/>
      <c r="J25" s="79"/>
      <c r="K25" s="79"/>
      <c r="L25" s="79"/>
      <c r="M25" s="79"/>
      <c r="N25" s="79"/>
      <c r="O25" s="79"/>
    </row>
    <row r="26" spans="1:15" x14ac:dyDescent="0.45">
      <c r="A26" s="79"/>
      <c r="B26" s="79"/>
      <c r="C26" s="79"/>
      <c r="D26" s="79"/>
      <c r="E26" s="79"/>
      <c r="F26" s="79"/>
      <c r="G26" s="79"/>
      <c r="H26" s="79"/>
      <c r="I26" s="79"/>
      <c r="J26" s="79"/>
      <c r="K26" s="79"/>
      <c r="L26" s="79"/>
      <c r="M26" s="79"/>
      <c r="N26" s="79"/>
      <c r="O26" s="79"/>
    </row>
    <row r="27" spans="1:15" x14ac:dyDescent="0.45">
      <c r="A27" s="79"/>
      <c r="B27" s="79"/>
      <c r="C27" s="79"/>
      <c r="D27" s="79"/>
      <c r="E27" s="79"/>
      <c r="F27" s="79"/>
      <c r="G27" s="79"/>
      <c r="H27" s="79"/>
      <c r="I27" s="79"/>
      <c r="J27" s="79"/>
      <c r="K27" s="79"/>
      <c r="L27" s="79"/>
      <c r="M27" s="79"/>
      <c r="N27" s="79"/>
      <c r="O27" s="79"/>
    </row>
    <row r="28" spans="1:15" ht="14.45" customHeight="1" x14ac:dyDescent="0.45">
      <c r="A28" s="79"/>
      <c r="B28" s="79"/>
      <c r="C28" s="79"/>
      <c r="D28" s="79"/>
      <c r="E28" s="79"/>
      <c r="F28" s="79"/>
      <c r="G28" s="79"/>
      <c r="H28" s="79"/>
      <c r="I28" s="79"/>
      <c r="J28" s="79"/>
      <c r="K28" s="79"/>
      <c r="L28" s="79"/>
      <c r="M28" s="79"/>
      <c r="N28" s="79"/>
      <c r="O28" s="79"/>
    </row>
    <row r="29" spans="1:15" ht="14.45" customHeight="1" x14ac:dyDescent="0.45">
      <c r="A29" s="79"/>
      <c r="B29" s="79"/>
      <c r="C29" s="79"/>
      <c r="D29" s="79"/>
      <c r="E29" s="79"/>
      <c r="F29" s="79"/>
      <c r="G29" s="79"/>
      <c r="H29" s="79"/>
      <c r="I29" s="79"/>
      <c r="J29" s="79"/>
      <c r="K29" s="79"/>
      <c r="L29" s="79"/>
      <c r="M29" s="79"/>
      <c r="N29" s="79"/>
      <c r="O29" s="79"/>
    </row>
    <row r="30" spans="1:15" ht="14.45" customHeight="1" x14ac:dyDescent="0.45">
      <c r="A30" s="79"/>
      <c r="B30" s="79"/>
      <c r="C30" s="79"/>
      <c r="D30" s="79"/>
      <c r="E30" s="79"/>
      <c r="F30" s="79"/>
      <c r="G30" s="79"/>
      <c r="H30" s="79"/>
      <c r="I30" s="79"/>
      <c r="J30" s="79"/>
      <c r="K30" s="79"/>
      <c r="L30" s="79"/>
      <c r="M30" s="79"/>
      <c r="N30" s="79"/>
      <c r="O30" s="79"/>
    </row>
    <row r="31" spans="1:15" x14ac:dyDescent="0.45">
      <c r="A31" s="79"/>
      <c r="B31" s="79"/>
      <c r="C31" s="79"/>
      <c r="D31" s="79"/>
      <c r="E31" s="79"/>
      <c r="F31" s="79"/>
      <c r="G31" s="79"/>
      <c r="H31" s="79"/>
      <c r="I31" s="79"/>
      <c r="J31" s="79"/>
      <c r="K31" s="79"/>
      <c r="L31" s="79"/>
      <c r="M31" s="79"/>
      <c r="N31" s="79"/>
      <c r="O31" s="79"/>
    </row>
    <row r="32" spans="1:15" x14ac:dyDescent="0.45">
      <c r="A32" s="79"/>
      <c r="B32" s="79"/>
      <c r="C32" s="79"/>
      <c r="D32" s="79"/>
      <c r="E32" s="79"/>
      <c r="F32" s="79"/>
      <c r="G32" s="79"/>
      <c r="H32" s="79"/>
      <c r="I32" s="79"/>
      <c r="J32" s="79"/>
      <c r="K32" s="79"/>
      <c r="L32" s="79"/>
      <c r="M32" s="79"/>
      <c r="N32" s="79"/>
      <c r="O32" s="79"/>
    </row>
    <row r="33" spans="1:15" x14ac:dyDescent="0.45">
      <c r="A33" s="79"/>
      <c r="B33" s="79"/>
      <c r="C33" s="79"/>
      <c r="D33" s="79"/>
      <c r="E33" s="79"/>
      <c r="F33" s="79"/>
      <c r="G33" s="79"/>
      <c r="H33" s="79"/>
      <c r="I33" s="79"/>
      <c r="J33" s="79"/>
      <c r="K33" s="79"/>
      <c r="L33" s="79"/>
      <c r="M33" s="79"/>
      <c r="N33" s="79"/>
      <c r="O33" s="79"/>
    </row>
    <row r="34" spans="1:15" x14ac:dyDescent="0.45">
      <c r="A34" s="79"/>
      <c r="B34" s="79"/>
      <c r="C34" s="79"/>
      <c r="D34" s="79"/>
      <c r="E34" s="79"/>
      <c r="F34" s="79"/>
      <c r="G34" s="79"/>
      <c r="H34" s="79"/>
      <c r="I34" s="79"/>
      <c r="J34" s="79"/>
      <c r="K34" s="79"/>
      <c r="L34" s="79"/>
      <c r="M34" s="79"/>
      <c r="N34" s="79"/>
      <c r="O34" s="79"/>
    </row>
    <row r="35" spans="1:15" x14ac:dyDescent="0.45">
      <c r="A35" s="79"/>
      <c r="B35" s="79"/>
      <c r="C35" s="79"/>
      <c r="D35" s="79"/>
      <c r="E35" s="79"/>
      <c r="F35" s="79"/>
      <c r="G35" s="79"/>
      <c r="H35" s="79"/>
      <c r="I35" s="79"/>
      <c r="J35" s="79"/>
      <c r="K35" s="79"/>
      <c r="L35" s="79"/>
      <c r="M35" s="79"/>
      <c r="N35" s="79"/>
      <c r="O35" s="79"/>
    </row>
    <row r="36" spans="1:15" x14ac:dyDescent="0.45">
      <c r="A36" s="79"/>
      <c r="B36" s="79"/>
      <c r="C36" s="79"/>
      <c r="D36" s="79"/>
      <c r="E36" s="79"/>
      <c r="F36" s="79"/>
      <c r="G36" s="79"/>
      <c r="H36" s="79"/>
      <c r="I36" s="79"/>
      <c r="J36" s="79"/>
      <c r="K36" s="79"/>
      <c r="L36" s="79"/>
      <c r="M36" s="79"/>
      <c r="N36" s="79"/>
      <c r="O36" s="79"/>
    </row>
    <row r="37" spans="1:15" x14ac:dyDescent="0.45">
      <c r="A37" s="79"/>
      <c r="B37" s="79"/>
      <c r="C37" s="79"/>
      <c r="D37" s="79"/>
      <c r="E37" s="79"/>
      <c r="F37" s="79"/>
      <c r="G37" s="79"/>
      <c r="H37" s="79"/>
      <c r="I37" s="79"/>
      <c r="J37" s="79"/>
      <c r="K37" s="79"/>
      <c r="L37" s="79"/>
      <c r="M37" s="79"/>
      <c r="N37" s="79"/>
      <c r="O37" s="79"/>
    </row>
    <row r="38" spans="1:15" x14ac:dyDescent="0.45">
      <c r="A38" s="79"/>
      <c r="B38" s="79"/>
      <c r="C38" s="79"/>
      <c r="D38" s="79"/>
      <c r="E38" s="79"/>
      <c r="F38" s="79"/>
      <c r="G38" s="79"/>
      <c r="H38" s="79"/>
      <c r="I38" s="79"/>
      <c r="J38" s="79"/>
      <c r="K38" s="79"/>
      <c r="L38" s="79"/>
      <c r="M38" s="79"/>
      <c r="N38" s="79"/>
      <c r="O38" s="79"/>
    </row>
    <row r="39" spans="1:15" x14ac:dyDescent="0.45">
      <c r="A39" s="79"/>
      <c r="B39" s="79"/>
      <c r="C39" s="79"/>
      <c r="D39" s="79"/>
      <c r="E39" s="79"/>
      <c r="F39" s="79"/>
      <c r="G39" s="79"/>
      <c r="H39" s="79"/>
      <c r="I39" s="79"/>
      <c r="J39" s="79"/>
      <c r="K39" s="79"/>
      <c r="L39" s="79"/>
      <c r="M39" s="79"/>
      <c r="N39" s="79"/>
      <c r="O39" s="79"/>
    </row>
    <row r="40" spans="1:15" x14ac:dyDescent="0.45">
      <c r="A40" s="79"/>
      <c r="B40" s="79"/>
      <c r="C40" s="79"/>
      <c r="D40" s="79"/>
      <c r="E40" s="79"/>
      <c r="F40" s="79"/>
      <c r="G40" s="79"/>
      <c r="H40" s="79"/>
      <c r="I40" s="79"/>
      <c r="J40" s="79"/>
      <c r="K40" s="79"/>
      <c r="L40" s="79"/>
      <c r="M40" s="79"/>
      <c r="N40" s="79"/>
      <c r="O40" s="79"/>
    </row>
    <row r="41" spans="1:15" x14ac:dyDescent="0.45">
      <c r="A41" s="79"/>
      <c r="B41" s="79"/>
      <c r="C41" s="79"/>
      <c r="D41" s="79"/>
      <c r="E41" s="79"/>
      <c r="F41" s="79"/>
      <c r="G41" s="79"/>
      <c r="H41" s="79"/>
      <c r="I41" s="79"/>
      <c r="J41" s="79"/>
      <c r="K41" s="79"/>
      <c r="L41" s="79"/>
      <c r="M41" s="79"/>
      <c r="N41" s="79"/>
      <c r="O41" s="79"/>
    </row>
  </sheetData>
  <sheetProtection algorithmName="SHA-512" hashValue="oFiHKdG3z9juFN0UIn/o4IKoifN0/0YWny/WSFWOVbrXmG1bf8bbHOKlpxtSTivyNVfS/7DCOmfebZQTrk/FvA==" saltValue="ic0rUUBO3fieJUykhXia2g==" spinCount="100000" sheet="1" objects="1" scenarios="1" autoFilter="0"/>
  <mergeCells count="15">
    <mergeCell ref="K14:M14"/>
    <mergeCell ref="K21:M21"/>
    <mergeCell ref="K22:M22"/>
    <mergeCell ref="K23:M23"/>
    <mergeCell ref="K15:M15"/>
    <mergeCell ref="K16:M16"/>
    <mergeCell ref="K17:M17"/>
    <mergeCell ref="K18:M18"/>
    <mergeCell ref="K19:M19"/>
    <mergeCell ref="K20:M20"/>
    <mergeCell ref="K1:N2"/>
    <mergeCell ref="E9:F10"/>
    <mergeCell ref="G9:K9"/>
    <mergeCell ref="L9:N9"/>
    <mergeCell ref="E11:F11"/>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99737E-C383-452B-8DD5-B0199A20B7AD}">
  <sheetPr codeName="Sheet2"/>
  <dimension ref="A3:F47"/>
  <sheetViews>
    <sheetView showGridLines="0" topLeftCell="A28" workbookViewId="0">
      <selection activeCell="E42" sqref="E42"/>
    </sheetView>
  </sheetViews>
  <sheetFormatPr defaultRowHeight="14.25" x14ac:dyDescent="0.45"/>
  <cols>
    <col min="1" max="1" width="52.6640625" bestFit="1" customWidth="1"/>
    <col min="2" max="2" width="31" bestFit="1" customWidth="1"/>
    <col min="3" max="3" width="3.59765625" bestFit="1" customWidth="1"/>
    <col min="4" max="4" width="9.86328125" bestFit="1" customWidth="1"/>
    <col min="5" max="5" width="19.3984375" bestFit="1" customWidth="1"/>
    <col min="6" max="6" width="23.53125" style="1" bestFit="1" customWidth="1"/>
    <col min="7" max="7" width="10.53125" bestFit="1" customWidth="1"/>
  </cols>
  <sheetData>
    <row r="3" spans="1:6" x14ac:dyDescent="0.45">
      <c r="A3" s="33" t="s">
        <v>0</v>
      </c>
      <c r="F3"/>
    </row>
    <row r="4" spans="1:6" x14ac:dyDescent="0.45">
      <c r="A4" t="s">
        <v>1</v>
      </c>
      <c r="C4" t="s">
        <v>2</v>
      </c>
      <c r="E4" t="s">
        <v>3</v>
      </c>
      <c r="F4" t="s">
        <v>4</v>
      </c>
    </row>
    <row r="5" spans="1:6" x14ac:dyDescent="0.45">
      <c r="A5" t="s">
        <v>5</v>
      </c>
      <c r="B5" t="s">
        <v>6</v>
      </c>
      <c r="C5" t="s">
        <v>5</v>
      </c>
      <c r="D5" t="s">
        <v>6</v>
      </c>
      <c r="F5"/>
    </row>
    <row r="6" spans="1:6" x14ac:dyDescent="0.45">
      <c r="A6" s="171">
        <v>191</v>
      </c>
      <c r="B6" s="171">
        <v>62</v>
      </c>
      <c r="C6" s="171">
        <v>60</v>
      </c>
      <c r="D6" s="171">
        <v>33</v>
      </c>
      <c r="E6" s="171">
        <v>251</v>
      </c>
      <c r="F6" s="172">
        <v>85</v>
      </c>
    </row>
    <row r="9" spans="1:6" x14ac:dyDescent="0.45">
      <c r="A9" s="33" t="s">
        <v>1461</v>
      </c>
      <c r="B9" t="s" vm="7">
        <v>7</v>
      </c>
    </row>
    <row r="11" spans="1:6" x14ac:dyDescent="0.45">
      <c r="A11" s="33" t="s">
        <v>5</v>
      </c>
      <c r="B11" s="33" t="s">
        <v>0</v>
      </c>
    </row>
    <row r="12" spans="1:6" x14ac:dyDescent="0.45">
      <c r="A12" s="33" t="s">
        <v>8</v>
      </c>
      <c r="B12" t="s">
        <v>9</v>
      </c>
      <c r="C12" t="s">
        <v>10</v>
      </c>
      <c r="D12" t="s">
        <v>11</v>
      </c>
    </row>
    <row r="13" spans="1:6" x14ac:dyDescent="0.45">
      <c r="A13" s="3" t="s">
        <v>1515</v>
      </c>
      <c r="B13" s="171"/>
      <c r="C13" s="171">
        <v>1</v>
      </c>
      <c r="D13" s="171">
        <v>1</v>
      </c>
    </row>
    <row r="14" spans="1:6" x14ac:dyDescent="0.45">
      <c r="A14" s="3" t="s">
        <v>1523</v>
      </c>
      <c r="B14" s="171"/>
      <c r="C14" s="171">
        <v>2</v>
      </c>
      <c r="D14" s="171">
        <v>2</v>
      </c>
    </row>
    <row r="15" spans="1:6" x14ac:dyDescent="0.45">
      <c r="A15" s="3" t="s">
        <v>12</v>
      </c>
      <c r="B15" s="171"/>
      <c r="C15" s="171">
        <v>1</v>
      </c>
      <c r="D15" s="171">
        <v>1</v>
      </c>
    </row>
    <row r="16" spans="1:6" x14ac:dyDescent="0.45">
      <c r="A16" s="3" t="s">
        <v>13</v>
      </c>
      <c r="B16" s="171">
        <v>1</v>
      </c>
      <c r="C16" s="171">
        <v>2</v>
      </c>
      <c r="D16" s="171">
        <v>3</v>
      </c>
    </row>
    <row r="17" spans="1:4" x14ac:dyDescent="0.45">
      <c r="A17" s="3" t="s">
        <v>11</v>
      </c>
      <c r="B17" s="171">
        <v>1</v>
      </c>
      <c r="C17" s="171">
        <v>6</v>
      </c>
      <c r="D17" s="171">
        <v>7</v>
      </c>
    </row>
    <row r="28" spans="1:4" x14ac:dyDescent="0.45">
      <c r="A28" s="33" t="s">
        <v>14</v>
      </c>
      <c r="B28" t="s" vm="1">
        <v>15</v>
      </c>
    </row>
    <row r="29" spans="1:4" x14ac:dyDescent="0.45">
      <c r="A29" s="33" t="s">
        <v>16</v>
      </c>
      <c r="B29" t="s" vm="3">
        <v>17</v>
      </c>
    </row>
    <row r="31" spans="1:4" x14ac:dyDescent="0.45">
      <c r="A31" t="s">
        <v>5</v>
      </c>
    </row>
    <row r="32" spans="1:4" x14ac:dyDescent="0.45">
      <c r="A32" s="171">
        <v>179</v>
      </c>
    </row>
    <row r="37" spans="1:6" x14ac:dyDescent="0.45">
      <c r="A37" s="33" t="s">
        <v>14</v>
      </c>
      <c r="B37" t="s" vm="6">
        <v>2</v>
      </c>
    </row>
    <row r="38" spans="1:6" x14ac:dyDescent="0.45">
      <c r="A38" s="33" t="s">
        <v>16</v>
      </c>
      <c r="B38" t="s" vm="2">
        <v>15</v>
      </c>
    </row>
    <row r="40" spans="1:6" x14ac:dyDescent="0.45">
      <c r="A40" s="33" t="s">
        <v>8</v>
      </c>
      <c r="B40" t="s">
        <v>5</v>
      </c>
      <c r="E40" t="s">
        <v>18</v>
      </c>
      <c r="F40" s="1" t="s">
        <v>19</v>
      </c>
    </row>
    <row r="41" spans="1:6" x14ac:dyDescent="0.45">
      <c r="A41" s="3" t="s">
        <v>1520</v>
      </c>
      <c r="B41" s="171">
        <v>35</v>
      </c>
      <c r="E41" t="str">
        <f>A41</f>
        <v>Awaiting ABC Company team Confirmation</v>
      </c>
      <c r="F41" s="1">
        <f>B41</f>
        <v>35</v>
      </c>
    </row>
    <row r="42" spans="1:6" x14ac:dyDescent="0.45">
      <c r="A42" s="3" t="s">
        <v>1528</v>
      </c>
      <c r="B42" s="171">
        <v>9</v>
      </c>
      <c r="E42" t="str">
        <f t="shared" ref="E42:E46" si="0">A42</f>
        <v>Not to be filed as per ABC Company team instructions</v>
      </c>
      <c r="F42" s="1">
        <f t="shared" ref="F42:F46" si="1">B42</f>
        <v>9</v>
      </c>
    </row>
    <row r="43" spans="1:6" x14ac:dyDescent="0.45">
      <c r="A43" s="3" t="s">
        <v>20</v>
      </c>
      <c r="B43" s="171">
        <v>9</v>
      </c>
      <c r="E43" t="str">
        <f t="shared" si="0"/>
        <v>Inactive prior enforcement</v>
      </c>
      <c r="F43" s="1">
        <f t="shared" si="1"/>
        <v>9</v>
      </c>
    </row>
    <row r="44" spans="1:6" x14ac:dyDescent="0.45">
      <c r="A44" s="3" t="s">
        <v>1524</v>
      </c>
      <c r="B44" s="171">
        <v>3</v>
      </c>
      <c r="E44" t="str">
        <f t="shared" si="0"/>
        <v>ABC Company Team evaluating Test-Purchased product</v>
      </c>
      <c r="F44" s="1">
        <f t="shared" si="1"/>
        <v>3</v>
      </c>
    </row>
    <row r="45" spans="1:6" x14ac:dyDescent="0.45">
      <c r="A45" s="3" t="s">
        <v>21</v>
      </c>
      <c r="B45" s="171">
        <v>3</v>
      </c>
      <c r="E45" t="str">
        <f t="shared" si="0"/>
        <v>Infringement Removed prior to enforcement</v>
      </c>
      <c r="F45" s="1">
        <f t="shared" si="1"/>
        <v>3</v>
      </c>
    </row>
    <row r="46" spans="1:6" x14ac:dyDescent="0.45">
      <c r="A46" s="3" t="s">
        <v>22</v>
      </c>
      <c r="B46" s="171">
        <v>1</v>
      </c>
      <c r="E46" t="str">
        <f t="shared" si="0"/>
        <v>Authentic Product - Not to be filed</v>
      </c>
      <c r="F46" s="1">
        <f t="shared" si="1"/>
        <v>1</v>
      </c>
    </row>
    <row r="47" spans="1:6" x14ac:dyDescent="0.45">
      <c r="E47" t="s">
        <v>11</v>
      </c>
      <c r="F47" s="1">
        <f>SUM(F41:F46)</f>
        <v>60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672A8A-7AA4-4238-A4DE-D9804076AA6E}">
  <sheetPr codeName="Sheet3"/>
  <dimension ref="A1:AP17"/>
  <sheetViews>
    <sheetView showGridLines="0" workbookViewId="0">
      <selection activeCell="E42" sqref="E42"/>
    </sheetView>
  </sheetViews>
  <sheetFormatPr defaultRowHeight="14.25" x14ac:dyDescent="0.45"/>
  <cols>
    <col min="1" max="1" width="29.53125" bestFit="1" customWidth="1"/>
    <col min="2" max="2" width="4.6640625" bestFit="1" customWidth="1"/>
    <col min="7" max="7" width="15.06640625" bestFit="1" customWidth="1"/>
    <col min="8" max="8" width="4.6640625" bestFit="1" customWidth="1"/>
    <col min="9" max="9" width="5.1328125" bestFit="1" customWidth="1"/>
    <col min="10" max="10" width="14.46484375" customWidth="1"/>
    <col min="11" max="11" width="8.86328125" style="1"/>
    <col min="18" max="18" width="16.06640625" bestFit="1" customWidth="1"/>
    <col min="19" max="19" width="12.53125" bestFit="1" customWidth="1"/>
    <col min="20" max="20" width="5.1328125" bestFit="1" customWidth="1"/>
    <col min="21" max="21" width="10.53125" bestFit="1" customWidth="1"/>
    <col min="22" max="22" width="13.86328125" bestFit="1" customWidth="1"/>
    <col min="23" max="23" width="19.6640625" bestFit="1" customWidth="1"/>
    <col min="24" max="24" width="16.46484375" bestFit="1" customWidth="1"/>
    <col min="29" max="29" width="16.46484375" bestFit="1" customWidth="1"/>
    <col min="30" max="30" width="4.86328125" bestFit="1" customWidth="1"/>
    <col min="31" max="31" width="17.33203125" bestFit="1" customWidth="1"/>
    <col min="32" max="32" width="17.6640625" bestFit="1" customWidth="1"/>
    <col min="33" max="33" width="23.33203125" bestFit="1" customWidth="1"/>
    <col min="34" max="34" width="22.1328125" bestFit="1" customWidth="1"/>
    <col min="35" max="35" width="15.06640625" bestFit="1" customWidth="1"/>
    <col min="36" max="36" width="19.19921875" bestFit="1" customWidth="1"/>
    <col min="37" max="37" width="20.33203125" bestFit="1" customWidth="1"/>
    <col min="38" max="38" width="24.6640625" bestFit="1" customWidth="1"/>
    <col min="39" max="48" width="31.53125" bestFit="1" customWidth="1"/>
    <col min="49" max="49" width="10.53125" bestFit="1" customWidth="1"/>
  </cols>
  <sheetData>
    <row r="1" spans="1:42" x14ac:dyDescent="0.45">
      <c r="R1" s="33" t="s">
        <v>23</v>
      </c>
      <c r="S1" t="s" vm="4">
        <v>24</v>
      </c>
      <c r="V1" s="33" t="s">
        <v>23</v>
      </c>
      <c r="W1" t="s" vm="5">
        <v>25</v>
      </c>
    </row>
    <row r="2" spans="1:42" x14ac:dyDescent="0.45">
      <c r="AC2" s="33" t="s">
        <v>14</v>
      </c>
      <c r="AD2" t="s" vm="1">
        <v>15</v>
      </c>
    </row>
    <row r="3" spans="1:42" x14ac:dyDescent="0.45">
      <c r="A3" s="33" t="s">
        <v>5</v>
      </c>
      <c r="G3" s="33" t="s">
        <v>5</v>
      </c>
      <c r="R3" s="33" t="s">
        <v>26</v>
      </c>
      <c r="V3" s="33" t="s">
        <v>26</v>
      </c>
    </row>
    <row r="4" spans="1:42" x14ac:dyDescent="0.45">
      <c r="A4" s="33" t="s">
        <v>27</v>
      </c>
      <c r="B4" t="s">
        <v>28</v>
      </c>
      <c r="G4" s="33" t="s">
        <v>29</v>
      </c>
      <c r="H4" t="s">
        <v>28</v>
      </c>
      <c r="J4" t="s">
        <v>29</v>
      </c>
      <c r="K4" s="1" t="s">
        <v>26</v>
      </c>
      <c r="R4" s="33" t="s">
        <v>30</v>
      </c>
      <c r="S4" t="s">
        <v>28</v>
      </c>
      <c r="V4" s="33" t="s">
        <v>30</v>
      </c>
      <c r="W4" t="s">
        <v>28</v>
      </c>
      <c r="AC4" s="33" t="s">
        <v>26</v>
      </c>
      <c r="AI4" s="33" t="s">
        <v>31</v>
      </c>
      <c r="AN4" s="170" t="s">
        <v>32</v>
      </c>
      <c r="AO4" s="170"/>
      <c r="AP4" s="170"/>
    </row>
    <row r="5" spans="1:42" x14ac:dyDescent="0.45">
      <c r="A5" t="s">
        <v>42</v>
      </c>
      <c r="B5" s="171">
        <v>127</v>
      </c>
      <c r="G5" t="s">
        <v>34</v>
      </c>
      <c r="H5" s="171">
        <v>14</v>
      </c>
      <c r="J5" t="str">
        <f>G5</f>
        <v>EP9302</v>
      </c>
      <c r="K5" s="1">
        <f t="shared" ref="K5:K7" si="0">H5</f>
        <v>14</v>
      </c>
      <c r="R5" t="s">
        <v>35</v>
      </c>
      <c r="S5" s="171">
        <v>13</v>
      </c>
      <c r="V5" t="s">
        <v>45</v>
      </c>
      <c r="W5" s="171">
        <v>1</v>
      </c>
      <c r="AC5" s="33" t="s">
        <v>16</v>
      </c>
      <c r="AD5" t="s">
        <v>28</v>
      </c>
      <c r="AF5" s="33" t="s">
        <v>37</v>
      </c>
      <c r="AG5" s="33" t="s">
        <v>38</v>
      </c>
      <c r="AH5" s="33" t="s">
        <v>39</v>
      </c>
      <c r="AI5" t="s">
        <v>5</v>
      </c>
      <c r="AJ5" t="s">
        <v>6</v>
      </c>
      <c r="AK5" t="s">
        <v>40</v>
      </c>
      <c r="AL5" t="s">
        <v>19</v>
      </c>
      <c r="AM5" t="s">
        <v>41</v>
      </c>
      <c r="AN5" t="s">
        <v>40</v>
      </c>
      <c r="AO5" t="s">
        <v>19</v>
      </c>
      <c r="AP5" t="s">
        <v>41</v>
      </c>
    </row>
    <row r="6" spans="1:42" x14ac:dyDescent="0.45">
      <c r="A6" t="s">
        <v>33</v>
      </c>
      <c r="B6" s="171">
        <v>77</v>
      </c>
      <c r="G6" t="s">
        <v>49</v>
      </c>
      <c r="H6" s="171">
        <v>16</v>
      </c>
      <c r="J6" t="str">
        <f t="shared" ref="J6:J7" si="1">G6</f>
        <v>CS8421</v>
      </c>
      <c r="K6" s="1">
        <f t="shared" si="0"/>
        <v>16</v>
      </c>
      <c r="R6" t="s">
        <v>44</v>
      </c>
      <c r="S6" s="171">
        <v>15</v>
      </c>
      <c r="V6" t="s">
        <v>1401</v>
      </c>
      <c r="W6" s="171">
        <v>15</v>
      </c>
      <c r="AC6" t="s">
        <v>17</v>
      </c>
      <c r="AD6" s="171">
        <v>179</v>
      </c>
      <c r="AF6" s="88">
        <v>46082</v>
      </c>
      <c r="AG6" t="s">
        <v>1460</v>
      </c>
      <c r="AH6" t="s">
        <v>1395</v>
      </c>
      <c r="AI6" s="171">
        <v>17</v>
      </c>
      <c r="AJ6" s="171">
        <v>2</v>
      </c>
      <c r="AK6" t="str">
        <f>_xlfn.CONCAT(AG6&amp;"-"&amp;AH6)</f>
        <v>Mar-2026</v>
      </c>
      <c r="AL6">
        <f>AI6</f>
        <v>17</v>
      </c>
      <c r="AM6">
        <f>AJ6</f>
        <v>2</v>
      </c>
      <c r="AN6" t="str">
        <f>AK11</f>
        <v>Oct-2025</v>
      </c>
      <c r="AO6">
        <f>AL11</f>
        <v>24</v>
      </c>
      <c r="AP6">
        <f>AM11</f>
        <v>1</v>
      </c>
    </row>
    <row r="7" spans="1:42" x14ac:dyDescent="0.45">
      <c r="A7" t="s">
        <v>48</v>
      </c>
      <c r="B7" s="171">
        <v>30</v>
      </c>
      <c r="G7" t="s">
        <v>1045</v>
      </c>
      <c r="H7" s="171">
        <v>51</v>
      </c>
      <c r="J7" t="str">
        <f t="shared" si="1"/>
        <v>CS3003</v>
      </c>
      <c r="K7" s="1">
        <f t="shared" si="0"/>
        <v>51</v>
      </c>
      <c r="R7" t="s">
        <v>50</v>
      </c>
      <c r="S7" s="171">
        <v>154</v>
      </c>
      <c r="V7" t="s">
        <v>51</v>
      </c>
      <c r="W7" s="171">
        <v>25</v>
      </c>
      <c r="AC7" t="s">
        <v>13</v>
      </c>
      <c r="AD7" s="171">
        <v>60</v>
      </c>
      <c r="AF7" s="88">
        <v>46054</v>
      </c>
      <c r="AG7" t="s">
        <v>1394</v>
      </c>
      <c r="AH7" t="s">
        <v>1395</v>
      </c>
      <c r="AI7" s="171">
        <v>20</v>
      </c>
      <c r="AJ7" s="171">
        <v>13</v>
      </c>
      <c r="AK7" t="str">
        <f t="shared" ref="AK7:AK11" si="2">_xlfn.CONCAT(AG7&amp;"-"&amp;AH7)</f>
        <v>Feb-2026</v>
      </c>
      <c r="AL7">
        <f t="shared" ref="AL7:AL11" si="3">AI7</f>
        <v>20</v>
      </c>
      <c r="AM7">
        <f t="shared" ref="AM7:AM11" si="4">AJ7</f>
        <v>13</v>
      </c>
      <c r="AN7" t="str">
        <f>AK10</f>
        <v>Nov-2025</v>
      </c>
      <c r="AO7">
        <f>AL10</f>
        <v>34</v>
      </c>
      <c r="AP7">
        <f>AM10</f>
        <v>16</v>
      </c>
    </row>
    <row r="8" spans="1:42" x14ac:dyDescent="0.45">
      <c r="A8" t="s">
        <v>53</v>
      </c>
      <c r="B8" s="171">
        <v>13</v>
      </c>
      <c r="G8" t="s">
        <v>11</v>
      </c>
      <c r="H8" s="171">
        <v>81</v>
      </c>
      <c r="R8" t="s">
        <v>11</v>
      </c>
      <c r="S8" s="171">
        <v>182</v>
      </c>
      <c r="V8" t="s">
        <v>11</v>
      </c>
      <c r="W8" s="171">
        <v>41</v>
      </c>
      <c r="AC8" t="s">
        <v>54</v>
      </c>
      <c r="AD8" s="171">
        <v>12</v>
      </c>
      <c r="AF8" s="88">
        <v>46023</v>
      </c>
      <c r="AG8" t="s">
        <v>1396</v>
      </c>
      <c r="AH8" t="s">
        <v>1395</v>
      </c>
      <c r="AI8" s="171">
        <v>57</v>
      </c>
      <c r="AJ8" s="171">
        <v>23</v>
      </c>
      <c r="AK8" t="str">
        <f t="shared" si="2"/>
        <v>Jan-2026</v>
      </c>
      <c r="AL8">
        <f t="shared" si="3"/>
        <v>57</v>
      </c>
      <c r="AM8">
        <f t="shared" si="4"/>
        <v>23</v>
      </c>
      <c r="AN8" t="str">
        <f>AK9</f>
        <v>Dec-2025</v>
      </c>
      <c r="AO8">
        <f>AL9</f>
        <v>13</v>
      </c>
      <c r="AP8">
        <f>AM9</f>
        <v>7</v>
      </c>
    </row>
    <row r="9" spans="1:42" x14ac:dyDescent="0.45">
      <c r="A9" t="s">
        <v>1372</v>
      </c>
      <c r="B9" s="171">
        <v>4</v>
      </c>
      <c r="AC9" t="s">
        <v>11</v>
      </c>
      <c r="AD9" s="171">
        <v>251</v>
      </c>
      <c r="AF9" s="88">
        <v>45992</v>
      </c>
      <c r="AG9" t="s">
        <v>46</v>
      </c>
      <c r="AH9" t="s">
        <v>47</v>
      </c>
      <c r="AI9" s="171">
        <v>13</v>
      </c>
      <c r="AJ9" s="171">
        <v>7</v>
      </c>
      <c r="AK9" t="str">
        <f t="shared" si="2"/>
        <v>Dec-2025</v>
      </c>
      <c r="AL9">
        <f t="shared" si="3"/>
        <v>13</v>
      </c>
      <c r="AM9">
        <f t="shared" si="4"/>
        <v>7</v>
      </c>
      <c r="AN9" t="str">
        <f>AK8</f>
        <v>Jan-2026</v>
      </c>
      <c r="AO9">
        <f>AL8</f>
        <v>57</v>
      </c>
      <c r="AP9">
        <f>AM8</f>
        <v>23</v>
      </c>
    </row>
    <row r="10" spans="1:42" x14ac:dyDescent="0.45">
      <c r="A10" t="s">
        <v>11</v>
      </c>
      <c r="B10" s="171">
        <v>251</v>
      </c>
      <c r="AF10" s="88">
        <v>45962</v>
      </c>
      <c r="AG10" t="s">
        <v>52</v>
      </c>
      <c r="AH10" t="s">
        <v>47</v>
      </c>
      <c r="AI10" s="171">
        <v>34</v>
      </c>
      <c r="AJ10" s="171">
        <v>16</v>
      </c>
      <c r="AK10" t="str">
        <f t="shared" si="2"/>
        <v>Nov-2025</v>
      </c>
      <c r="AL10">
        <f t="shared" si="3"/>
        <v>34</v>
      </c>
      <c r="AM10">
        <f t="shared" si="4"/>
        <v>16</v>
      </c>
      <c r="AN10" t="str">
        <f>AK7</f>
        <v>Feb-2026</v>
      </c>
      <c r="AO10">
        <f>AL7</f>
        <v>20</v>
      </c>
      <c r="AP10">
        <f>AM7</f>
        <v>13</v>
      </c>
    </row>
    <row r="11" spans="1:42" x14ac:dyDescent="0.45">
      <c r="AF11" s="88">
        <v>45957</v>
      </c>
      <c r="AG11" t="s">
        <v>55</v>
      </c>
      <c r="AH11" t="s">
        <v>47</v>
      </c>
      <c r="AI11" s="171">
        <v>24</v>
      </c>
      <c r="AJ11" s="171">
        <v>1</v>
      </c>
      <c r="AK11" t="str">
        <f t="shared" si="2"/>
        <v>Oct-2025</v>
      </c>
      <c r="AL11">
        <f t="shared" si="3"/>
        <v>24</v>
      </c>
      <c r="AM11">
        <f t="shared" si="4"/>
        <v>1</v>
      </c>
      <c r="AN11" t="str">
        <f>AK6</f>
        <v>Mar-2026</v>
      </c>
      <c r="AO11">
        <f>AL6</f>
        <v>17</v>
      </c>
      <c r="AP11">
        <f>AM6</f>
        <v>2</v>
      </c>
    </row>
    <row r="12" spans="1:42" x14ac:dyDescent="0.45">
      <c r="AF12" s="88">
        <v>45901</v>
      </c>
      <c r="AG12" t="s">
        <v>56</v>
      </c>
      <c r="AH12" t="s">
        <v>47</v>
      </c>
      <c r="AI12" s="171">
        <v>16</v>
      </c>
      <c r="AJ12" s="171">
        <v>10</v>
      </c>
    </row>
    <row r="13" spans="1:42" x14ac:dyDescent="0.45">
      <c r="AF13" s="88">
        <v>45870</v>
      </c>
      <c r="AG13" t="s">
        <v>57</v>
      </c>
      <c r="AH13" t="s">
        <v>47</v>
      </c>
      <c r="AI13" s="171">
        <v>10</v>
      </c>
      <c r="AJ13" s="171">
        <v>7</v>
      </c>
    </row>
    <row r="14" spans="1:42" x14ac:dyDescent="0.45">
      <c r="AF14" s="88">
        <v>45839</v>
      </c>
      <c r="AG14" t="s">
        <v>58</v>
      </c>
      <c r="AH14" t="s">
        <v>47</v>
      </c>
      <c r="AI14" s="171">
        <v>24</v>
      </c>
      <c r="AJ14" s="171">
        <v>20</v>
      </c>
    </row>
    <row r="15" spans="1:42" x14ac:dyDescent="0.45">
      <c r="AF15" s="88">
        <v>45809</v>
      </c>
      <c r="AG15" t="s">
        <v>59</v>
      </c>
      <c r="AH15" t="s">
        <v>47</v>
      </c>
      <c r="AI15" s="171">
        <v>5</v>
      </c>
      <c r="AJ15" s="171">
        <v>5</v>
      </c>
    </row>
    <row r="16" spans="1:42" x14ac:dyDescent="0.45">
      <c r="AF16" s="88">
        <v>45778</v>
      </c>
      <c r="AG16" t="s">
        <v>60</v>
      </c>
      <c r="AH16" t="s">
        <v>47</v>
      </c>
      <c r="AI16" s="171">
        <v>31</v>
      </c>
      <c r="AJ16" s="171">
        <v>9</v>
      </c>
    </row>
    <row r="17" spans="32:36" x14ac:dyDescent="0.45">
      <c r="AF17" t="s">
        <v>11</v>
      </c>
      <c r="AI17" s="171">
        <v>251</v>
      </c>
      <c r="AJ17" s="171">
        <v>85</v>
      </c>
    </row>
  </sheetData>
  <mergeCells count="1">
    <mergeCell ref="AN4:AP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A3C60-1811-4008-B701-969742CD8078}">
  <sheetPr codeName="Sheet4"/>
  <dimension ref="A1:AZ252"/>
  <sheetViews>
    <sheetView zoomScale="85" zoomScaleNormal="90" workbookViewId="0">
      <pane xSplit="1" ySplit="1" topLeftCell="AI2" activePane="bottomRight" state="frozen"/>
      <selection activeCell="E42" sqref="E42"/>
      <selection pane="topRight" activeCell="E42" sqref="E42"/>
      <selection pane="bottomLeft" activeCell="E42" sqref="E42"/>
      <selection pane="bottomRight" activeCell="E42" sqref="E42"/>
    </sheetView>
  </sheetViews>
  <sheetFormatPr defaultRowHeight="14.25" x14ac:dyDescent="0.45"/>
  <cols>
    <col min="1" max="1" width="10.33203125" style="3" customWidth="1"/>
    <col min="2" max="2" width="16.1328125" style="3" customWidth="1"/>
    <col min="3" max="3" width="10.1328125" style="4" customWidth="1"/>
    <col min="4" max="4" width="14.86328125" style="3" customWidth="1"/>
    <col min="5" max="6" width="14.6640625" style="3" customWidth="1"/>
    <col min="7" max="9" width="14.46484375" style="3" customWidth="1"/>
    <col min="10" max="10" width="23.6640625" style="3" customWidth="1"/>
    <col min="11" max="11" width="37.33203125" style="3" customWidth="1"/>
    <col min="12" max="14" width="18.86328125" style="3" customWidth="1"/>
    <col min="15" max="15" width="12.86328125" customWidth="1"/>
    <col min="16" max="16" width="21" customWidth="1"/>
    <col min="17" max="17" width="95" style="3" customWidth="1"/>
    <col min="18" max="18" width="21" style="1" customWidth="1"/>
    <col min="19" max="19" width="23.46484375" customWidth="1"/>
    <col min="20" max="20" width="8.86328125" customWidth="1"/>
    <col min="21" max="21" width="9.6640625" customWidth="1"/>
    <col min="22" max="22" width="8.86328125" customWidth="1"/>
    <col min="23" max="23" width="5.6640625" bestFit="1" customWidth="1"/>
    <col min="24" max="24" width="6.6640625" bestFit="1" customWidth="1"/>
    <col min="25" max="25" width="12.46484375" customWidth="1"/>
    <col min="26" max="26" width="17.46484375" customWidth="1"/>
    <col min="27" max="27" width="22.6640625" style="3" bestFit="1" customWidth="1"/>
    <col min="28" max="28" width="22.6640625" style="3" customWidth="1"/>
    <col min="29" max="29" width="15.6640625" style="3" customWidth="1"/>
    <col min="30" max="30" width="46.46484375" style="3" customWidth="1"/>
    <col min="31" max="31" width="30" customWidth="1"/>
    <col min="32" max="32" width="15.1328125" customWidth="1"/>
    <col min="33" max="33" width="31.33203125" style="3" customWidth="1"/>
    <col min="34" max="34" width="15.1328125" customWidth="1"/>
    <col min="35" max="35" width="15.33203125" customWidth="1"/>
    <col min="36" max="36" width="32.53125" customWidth="1"/>
    <col min="37" max="37" width="14.33203125" customWidth="1"/>
    <col min="38" max="38" width="22.86328125" customWidth="1"/>
    <col min="39" max="39" width="15.33203125" customWidth="1"/>
    <col min="40" max="40" width="14.33203125" customWidth="1"/>
    <col min="41" max="41" width="47" customWidth="1"/>
    <col min="42" max="42" width="35.6640625" customWidth="1"/>
  </cols>
  <sheetData>
    <row r="1" spans="1:42" s="2" customFormat="1" ht="44.45" customHeight="1" x14ac:dyDescent="0.45">
      <c r="A1" s="41" t="s">
        <v>71</v>
      </c>
      <c r="B1" s="42" t="s">
        <v>37</v>
      </c>
      <c r="C1" s="43" t="s">
        <v>72</v>
      </c>
      <c r="D1" s="42" t="s">
        <v>73</v>
      </c>
      <c r="E1" s="42" t="s">
        <v>23</v>
      </c>
      <c r="F1" s="42" t="s">
        <v>74</v>
      </c>
      <c r="G1" s="42" t="s">
        <v>30</v>
      </c>
      <c r="H1" s="42" t="s">
        <v>75</v>
      </c>
      <c r="I1" s="42" t="s">
        <v>76</v>
      </c>
      <c r="J1" s="44" t="s">
        <v>77</v>
      </c>
      <c r="K1" s="44" t="s">
        <v>78</v>
      </c>
      <c r="L1" s="44" t="s">
        <v>79</v>
      </c>
      <c r="M1" s="44" t="s">
        <v>80</v>
      </c>
      <c r="N1" s="44" t="s">
        <v>81</v>
      </c>
      <c r="O1" s="45" t="s">
        <v>29</v>
      </c>
      <c r="P1" s="45" t="s">
        <v>82</v>
      </c>
      <c r="Q1" s="46" t="s">
        <v>83</v>
      </c>
      <c r="R1" s="45" t="s">
        <v>84</v>
      </c>
      <c r="S1" s="45" t="s">
        <v>85</v>
      </c>
      <c r="T1" s="47" t="s">
        <v>86</v>
      </c>
      <c r="U1" s="45" t="s">
        <v>87</v>
      </c>
      <c r="V1" s="47" t="s">
        <v>88</v>
      </c>
      <c r="W1" s="48" t="s">
        <v>89</v>
      </c>
      <c r="X1" s="49" t="s">
        <v>90</v>
      </c>
      <c r="Y1" s="50" t="s">
        <v>91</v>
      </c>
      <c r="Z1" s="51" t="s">
        <v>92</v>
      </c>
      <c r="AA1" s="52" t="s">
        <v>27</v>
      </c>
      <c r="AB1" s="52" t="s">
        <v>93</v>
      </c>
      <c r="AC1" s="53" t="s">
        <v>94</v>
      </c>
      <c r="AD1" s="54" t="s">
        <v>1461</v>
      </c>
      <c r="AE1" s="55" t="s">
        <v>95</v>
      </c>
      <c r="AF1" s="55" t="s">
        <v>96</v>
      </c>
      <c r="AG1" s="55" t="s">
        <v>97</v>
      </c>
      <c r="AH1" s="55" t="s">
        <v>98</v>
      </c>
      <c r="AI1" s="56" t="s">
        <v>14</v>
      </c>
      <c r="AJ1" s="56" t="s">
        <v>18</v>
      </c>
      <c r="AK1" s="57" t="s">
        <v>99</v>
      </c>
      <c r="AL1" s="57" t="s">
        <v>100</v>
      </c>
      <c r="AM1" s="58" t="s">
        <v>16</v>
      </c>
      <c r="AN1" s="58" t="s">
        <v>101</v>
      </c>
      <c r="AO1" s="59" t="s">
        <v>102</v>
      </c>
      <c r="AP1" s="57" t="s">
        <v>103</v>
      </c>
    </row>
    <row r="2" spans="1:42" s="109" customFormat="1" x14ac:dyDescent="0.45">
      <c r="A2" s="99" t="s">
        <v>104</v>
      </c>
      <c r="B2" s="100">
        <v>45778</v>
      </c>
      <c r="C2" s="101">
        <v>2025</v>
      </c>
      <c r="D2" s="102" t="s">
        <v>105</v>
      </c>
      <c r="E2" s="102" t="s">
        <v>24</v>
      </c>
      <c r="F2" s="102" t="s">
        <v>35</v>
      </c>
      <c r="G2" s="102" t="s">
        <v>35</v>
      </c>
      <c r="H2" s="102" t="s">
        <v>106</v>
      </c>
      <c r="I2" s="102" t="s">
        <v>9</v>
      </c>
      <c r="J2" s="102" t="s">
        <v>107</v>
      </c>
      <c r="K2" s="102" t="s">
        <v>108</v>
      </c>
      <c r="L2" s="102" t="s">
        <v>109</v>
      </c>
      <c r="M2" s="102" t="s">
        <v>110</v>
      </c>
      <c r="N2" s="102" t="s">
        <v>111</v>
      </c>
      <c r="O2" s="103" t="s">
        <v>49</v>
      </c>
      <c r="P2" s="103" t="s">
        <v>112</v>
      </c>
      <c r="Q2" s="102" t="s">
        <v>113</v>
      </c>
      <c r="R2" s="103" t="s">
        <v>114</v>
      </c>
      <c r="S2" s="104" t="s">
        <v>115</v>
      </c>
      <c r="T2" s="103">
        <v>12.9</v>
      </c>
      <c r="U2" s="103" t="s">
        <v>116</v>
      </c>
      <c r="V2" s="103">
        <v>12.9</v>
      </c>
      <c r="W2" s="103"/>
      <c r="X2" s="105"/>
      <c r="Y2" s="103">
        <v>5000</v>
      </c>
      <c r="Z2" s="103" t="s">
        <v>117</v>
      </c>
      <c r="AA2" s="102" t="s">
        <v>33</v>
      </c>
      <c r="AB2" s="102" t="s">
        <v>118</v>
      </c>
      <c r="AC2" s="106" t="s">
        <v>119</v>
      </c>
      <c r="AD2" s="102" t="s">
        <v>120</v>
      </c>
      <c r="AE2" s="103" t="s">
        <v>9</v>
      </c>
      <c r="AF2" s="107"/>
      <c r="AG2" s="102"/>
      <c r="AH2" s="103"/>
      <c r="AI2" s="103" t="s">
        <v>1</v>
      </c>
      <c r="AJ2" s="104"/>
      <c r="AK2" s="107">
        <v>45903</v>
      </c>
      <c r="AL2" s="104" t="s">
        <v>121</v>
      </c>
      <c r="AM2" s="104" t="s">
        <v>17</v>
      </c>
      <c r="AN2" s="107">
        <v>45904</v>
      </c>
      <c r="AO2" s="108"/>
    </row>
    <row r="3" spans="1:42" x14ac:dyDescent="0.45">
      <c r="A3" s="35" t="s">
        <v>122</v>
      </c>
      <c r="B3" s="6">
        <v>45778</v>
      </c>
      <c r="C3" s="7">
        <v>2025</v>
      </c>
      <c r="D3" s="5" t="s">
        <v>105</v>
      </c>
      <c r="E3" s="5" t="s">
        <v>24</v>
      </c>
      <c r="F3" s="5" t="s">
        <v>123</v>
      </c>
      <c r="G3" s="5" t="s">
        <v>50</v>
      </c>
      <c r="H3" s="5" t="s">
        <v>124</v>
      </c>
      <c r="I3" s="5" t="s">
        <v>9</v>
      </c>
      <c r="J3" s="5" t="s">
        <v>125</v>
      </c>
      <c r="K3" s="5" t="s">
        <v>126</v>
      </c>
      <c r="L3" s="5" t="s">
        <v>127</v>
      </c>
      <c r="M3" s="5" t="s">
        <v>128</v>
      </c>
      <c r="N3" s="5" t="s">
        <v>129</v>
      </c>
      <c r="O3" s="8" t="s">
        <v>130</v>
      </c>
      <c r="P3" s="8" t="s">
        <v>112</v>
      </c>
      <c r="Q3" s="5" t="s">
        <v>131</v>
      </c>
      <c r="R3" s="8" t="s">
        <v>132</v>
      </c>
      <c r="S3" s="9" t="s">
        <v>1511</v>
      </c>
      <c r="T3" s="8">
        <v>1.9</v>
      </c>
      <c r="U3" s="8" t="s">
        <v>116</v>
      </c>
      <c r="V3" s="8">
        <v>1.9</v>
      </c>
      <c r="W3" s="8">
        <v>6.6</v>
      </c>
      <c r="X3" s="10">
        <v>0.71212121212121204</v>
      </c>
      <c r="Y3" s="8">
        <v>4000</v>
      </c>
      <c r="Z3" s="8" t="s">
        <v>117</v>
      </c>
      <c r="AA3" s="5" t="s">
        <v>48</v>
      </c>
      <c r="AB3" s="5" t="s">
        <v>1462</v>
      </c>
      <c r="AC3" s="12" t="s">
        <v>133</v>
      </c>
      <c r="AD3" s="5" t="s">
        <v>7</v>
      </c>
      <c r="AE3" s="8" t="s">
        <v>10</v>
      </c>
      <c r="AF3" s="11">
        <v>45888</v>
      </c>
      <c r="AG3" s="5" t="s">
        <v>134</v>
      </c>
      <c r="AH3" s="8"/>
      <c r="AI3" s="8" t="s">
        <v>1</v>
      </c>
      <c r="AJ3" s="9"/>
      <c r="AK3" s="11">
        <v>45903</v>
      </c>
      <c r="AL3" s="9" t="s">
        <v>135</v>
      </c>
      <c r="AM3" s="9" t="s">
        <v>17</v>
      </c>
      <c r="AN3" s="11">
        <v>45904</v>
      </c>
      <c r="AO3" s="38"/>
    </row>
    <row r="4" spans="1:42" s="22" customFormat="1" x14ac:dyDescent="0.45">
      <c r="A4" s="36" t="s">
        <v>136</v>
      </c>
      <c r="B4" s="15">
        <v>45778</v>
      </c>
      <c r="C4" s="16">
        <v>2025</v>
      </c>
      <c r="D4" s="14" t="s">
        <v>105</v>
      </c>
      <c r="E4" s="14" t="s">
        <v>24</v>
      </c>
      <c r="F4" s="14" t="s">
        <v>123</v>
      </c>
      <c r="G4" s="14" t="s">
        <v>50</v>
      </c>
      <c r="H4" s="14" t="s">
        <v>124</v>
      </c>
      <c r="I4" s="14" t="s">
        <v>9</v>
      </c>
      <c r="J4" s="14" t="s">
        <v>137</v>
      </c>
      <c r="K4" s="14" t="s">
        <v>138</v>
      </c>
      <c r="L4" s="14" t="s">
        <v>139</v>
      </c>
      <c r="M4" s="14" t="s">
        <v>140</v>
      </c>
      <c r="N4" s="14" t="s">
        <v>141</v>
      </c>
      <c r="O4" s="17" t="s">
        <v>142</v>
      </c>
      <c r="P4" s="17">
        <v>2121</v>
      </c>
      <c r="Q4" s="14" t="s">
        <v>1512</v>
      </c>
      <c r="R4" s="17" t="s">
        <v>143</v>
      </c>
      <c r="S4" s="18" t="s">
        <v>1513</v>
      </c>
      <c r="T4" s="17">
        <v>0.1</v>
      </c>
      <c r="U4" s="17" t="s">
        <v>116</v>
      </c>
      <c r="V4" s="17">
        <v>0.1</v>
      </c>
      <c r="W4" s="17"/>
      <c r="X4" s="19"/>
      <c r="Y4" s="17">
        <v>5000</v>
      </c>
      <c r="Z4" s="17" t="s">
        <v>117</v>
      </c>
      <c r="AA4" s="14" t="s">
        <v>42</v>
      </c>
      <c r="AB4" s="14" t="s">
        <v>1463</v>
      </c>
      <c r="AC4" s="20" t="s">
        <v>144</v>
      </c>
      <c r="AD4" s="14" t="s">
        <v>7</v>
      </c>
      <c r="AE4" s="17" t="s">
        <v>10</v>
      </c>
      <c r="AF4" s="21">
        <v>45888</v>
      </c>
      <c r="AG4" s="14" t="s">
        <v>1514</v>
      </c>
      <c r="AH4" s="34" t="s">
        <v>1515</v>
      </c>
      <c r="AI4" s="17" t="s">
        <v>2</v>
      </c>
      <c r="AJ4" s="18" t="s">
        <v>22</v>
      </c>
      <c r="AK4" s="21"/>
      <c r="AL4" s="18"/>
      <c r="AM4" s="18"/>
      <c r="AN4" s="21"/>
      <c r="AO4" s="39" t="s">
        <v>145</v>
      </c>
    </row>
    <row r="5" spans="1:42" x14ac:dyDescent="0.45">
      <c r="A5" s="35" t="s">
        <v>146</v>
      </c>
      <c r="B5" s="6">
        <v>45778</v>
      </c>
      <c r="C5" s="7">
        <v>2025</v>
      </c>
      <c r="D5" s="5" t="s">
        <v>105</v>
      </c>
      <c r="E5" s="5" t="s">
        <v>24</v>
      </c>
      <c r="F5" s="5" t="s">
        <v>123</v>
      </c>
      <c r="G5" s="5" t="s">
        <v>50</v>
      </c>
      <c r="H5" s="5" t="s">
        <v>124</v>
      </c>
      <c r="I5" s="5" t="s">
        <v>9</v>
      </c>
      <c r="J5" s="5" t="s">
        <v>147</v>
      </c>
      <c r="K5" s="5" t="s">
        <v>148</v>
      </c>
      <c r="L5" s="5" t="s">
        <v>149</v>
      </c>
      <c r="M5" s="5" t="s">
        <v>150</v>
      </c>
      <c r="N5" s="5" t="s">
        <v>151</v>
      </c>
      <c r="O5" s="8" t="s">
        <v>112</v>
      </c>
      <c r="P5" s="8" t="s">
        <v>112</v>
      </c>
      <c r="Q5" s="5" t="s">
        <v>1516</v>
      </c>
      <c r="R5" s="8" t="s">
        <v>152</v>
      </c>
      <c r="S5" s="9" t="s">
        <v>1517</v>
      </c>
      <c r="T5" s="8">
        <v>0.15</v>
      </c>
      <c r="U5" s="8" t="s">
        <v>116</v>
      </c>
      <c r="V5" s="8">
        <v>0.15</v>
      </c>
      <c r="W5" s="8"/>
      <c r="X5" s="10"/>
      <c r="Y5" s="8"/>
      <c r="Z5" s="8" t="s">
        <v>117</v>
      </c>
      <c r="AA5" s="5" t="s">
        <v>53</v>
      </c>
      <c r="AB5" s="5" t="s">
        <v>153</v>
      </c>
      <c r="AC5" s="12" t="s">
        <v>154</v>
      </c>
      <c r="AD5" s="5" t="s">
        <v>120</v>
      </c>
      <c r="AE5" s="8" t="s">
        <v>9</v>
      </c>
      <c r="AF5" s="11"/>
      <c r="AG5" s="5"/>
      <c r="AH5" s="8"/>
      <c r="AI5" s="8" t="s">
        <v>1</v>
      </c>
      <c r="AJ5" s="9"/>
      <c r="AK5" s="11">
        <v>45903</v>
      </c>
      <c r="AL5" s="9" t="s">
        <v>155</v>
      </c>
      <c r="AM5" s="9" t="s">
        <v>17</v>
      </c>
      <c r="AN5" s="11">
        <v>45904</v>
      </c>
      <c r="AO5" s="38"/>
    </row>
    <row r="6" spans="1:42" x14ac:dyDescent="0.45">
      <c r="A6" s="35" t="s">
        <v>156</v>
      </c>
      <c r="B6" s="6">
        <v>45778</v>
      </c>
      <c r="C6" s="7">
        <v>2025</v>
      </c>
      <c r="D6" s="5" t="s">
        <v>105</v>
      </c>
      <c r="E6" s="5" t="s">
        <v>24</v>
      </c>
      <c r="F6" s="5" t="s">
        <v>123</v>
      </c>
      <c r="G6" s="5" t="s">
        <v>50</v>
      </c>
      <c r="H6" s="5" t="s">
        <v>124</v>
      </c>
      <c r="I6" s="5" t="s">
        <v>9</v>
      </c>
      <c r="J6" s="5" t="s">
        <v>125</v>
      </c>
      <c r="K6" s="5" t="s">
        <v>126</v>
      </c>
      <c r="L6" s="5" t="s">
        <v>127</v>
      </c>
      <c r="M6" s="5" t="s">
        <v>128</v>
      </c>
      <c r="N6" s="5" t="s">
        <v>129</v>
      </c>
      <c r="O6" s="8" t="s">
        <v>130</v>
      </c>
      <c r="P6" s="8" t="s">
        <v>112</v>
      </c>
      <c r="Q6" s="5" t="s">
        <v>1518</v>
      </c>
      <c r="R6" s="8" t="s">
        <v>157</v>
      </c>
      <c r="S6" s="9" t="s">
        <v>1464</v>
      </c>
      <c r="T6" s="8">
        <v>1.9</v>
      </c>
      <c r="U6" s="8" t="s">
        <v>116</v>
      </c>
      <c r="V6" s="8">
        <v>1.9</v>
      </c>
      <c r="W6" s="8">
        <v>6.6</v>
      </c>
      <c r="X6" s="10">
        <v>0.71212121212121204</v>
      </c>
      <c r="Y6" s="8">
        <v>4000</v>
      </c>
      <c r="Z6" s="8" t="s">
        <v>117</v>
      </c>
      <c r="AA6" s="5" t="s">
        <v>48</v>
      </c>
      <c r="AB6" s="5" t="s">
        <v>158</v>
      </c>
      <c r="AC6" s="12" t="s">
        <v>159</v>
      </c>
      <c r="AD6" s="5" t="s">
        <v>7</v>
      </c>
      <c r="AE6" s="8" t="s">
        <v>10</v>
      </c>
      <c r="AF6" s="11">
        <v>45918</v>
      </c>
      <c r="AG6" s="5" t="s">
        <v>160</v>
      </c>
      <c r="AH6" s="8"/>
      <c r="AI6" s="8" t="s">
        <v>2</v>
      </c>
      <c r="AJ6" s="9" t="s">
        <v>20</v>
      </c>
      <c r="AK6" s="11"/>
      <c r="AL6" s="9"/>
      <c r="AM6" s="9"/>
      <c r="AN6" s="11"/>
      <c r="AO6" s="38"/>
    </row>
    <row r="7" spans="1:42" x14ac:dyDescent="0.45">
      <c r="A7" s="35" t="s">
        <v>161</v>
      </c>
      <c r="B7" s="6">
        <v>45778</v>
      </c>
      <c r="C7" s="7">
        <v>2025</v>
      </c>
      <c r="D7" s="5" t="s">
        <v>105</v>
      </c>
      <c r="E7" s="5" t="s">
        <v>24</v>
      </c>
      <c r="F7" s="5" t="s">
        <v>123</v>
      </c>
      <c r="G7" s="5" t="s">
        <v>50</v>
      </c>
      <c r="H7" s="5" t="s">
        <v>124</v>
      </c>
      <c r="I7" s="5" t="s">
        <v>9</v>
      </c>
      <c r="J7" s="5" t="s">
        <v>125</v>
      </c>
      <c r="K7" s="5" t="s">
        <v>126</v>
      </c>
      <c r="L7" s="5" t="s">
        <v>127</v>
      </c>
      <c r="M7" s="5" t="s">
        <v>128</v>
      </c>
      <c r="N7" s="5" t="s">
        <v>129</v>
      </c>
      <c r="O7" s="8" t="s">
        <v>130</v>
      </c>
      <c r="P7" s="8" t="s">
        <v>112</v>
      </c>
      <c r="Q7" s="5" t="s">
        <v>1519</v>
      </c>
      <c r="R7" s="8" t="s">
        <v>162</v>
      </c>
      <c r="S7" s="9" t="s">
        <v>1465</v>
      </c>
      <c r="T7" s="8">
        <v>1.9</v>
      </c>
      <c r="U7" s="8" t="s">
        <v>116</v>
      </c>
      <c r="V7" s="8">
        <v>1.9</v>
      </c>
      <c r="W7" s="8">
        <v>6.6</v>
      </c>
      <c r="X7" s="10">
        <v>0.71212121212121204</v>
      </c>
      <c r="Y7" s="8">
        <v>4000</v>
      </c>
      <c r="Z7" s="8" t="s">
        <v>117</v>
      </c>
      <c r="AA7" s="5" t="s">
        <v>48</v>
      </c>
      <c r="AB7" s="5" t="s">
        <v>158</v>
      </c>
      <c r="AC7" s="12" t="s">
        <v>163</v>
      </c>
      <c r="AD7" s="5" t="s">
        <v>164</v>
      </c>
      <c r="AE7" s="8" t="s">
        <v>9</v>
      </c>
      <c r="AF7" s="11"/>
      <c r="AG7" s="5"/>
      <c r="AH7" s="8"/>
      <c r="AI7" s="8" t="s">
        <v>2</v>
      </c>
      <c r="AJ7" s="9" t="s">
        <v>20</v>
      </c>
      <c r="AK7" s="11"/>
      <c r="AL7" s="9"/>
      <c r="AM7" s="9"/>
      <c r="AN7" s="11"/>
      <c r="AO7" s="38"/>
    </row>
    <row r="8" spans="1:42" s="109" customFormat="1" x14ac:dyDescent="0.45">
      <c r="A8" s="99" t="s">
        <v>165</v>
      </c>
      <c r="B8" s="100">
        <v>45778</v>
      </c>
      <c r="C8" s="101">
        <v>2025</v>
      </c>
      <c r="D8" s="102" t="s">
        <v>105</v>
      </c>
      <c r="E8" s="102" t="s">
        <v>24</v>
      </c>
      <c r="F8" s="102" t="s">
        <v>35</v>
      </c>
      <c r="G8" s="102" t="s">
        <v>35</v>
      </c>
      <c r="H8" s="102" t="s">
        <v>106</v>
      </c>
      <c r="I8" s="102" t="s">
        <v>9</v>
      </c>
      <c r="J8" s="102" t="s">
        <v>107</v>
      </c>
      <c r="K8" s="102" t="s">
        <v>108</v>
      </c>
      <c r="L8" s="102" t="s">
        <v>109</v>
      </c>
      <c r="M8" s="102" t="s">
        <v>110</v>
      </c>
      <c r="N8" s="102" t="s">
        <v>111</v>
      </c>
      <c r="O8" s="103" t="s">
        <v>49</v>
      </c>
      <c r="P8" s="103" t="s">
        <v>112</v>
      </c>
      <c r="Q8" s="102" t="s">
        <v>166</v>
      </c>
      <c r="R8" s="103" t="s">
        <v>167</v>
      </c>
      <c r="S8" s="104" t="s">
        <v>168</v>
      </c>
      <c r="T8" s="103">
        <v>13.4</v>
      </c>
      <c r="U8" s="103" t="s">
        <v>116</v>
      </c>
      <c r="V8" s="103">
        <v>13.4</v>
      </c>
      <c r="W8" s="103"/>
      <c r="X8" s="105"/>
      <c r="Y8" s="103">
        <v>5000</v>
      </c>
      <c r="Z8" s="103" t="s">
        <v>117</v>
      </c>
      <c r="AA8" s="102" t="s">
        <v>53</v>
      </c>
      <c r="AB8" s="102" t="s">
        <v>169</v>
      </c>
      <c r="AC8" s="106" t="s">
        <v>170</v>
      </c>
      <c r="AD8" s="102" t="s">
        <v>120</v>
      </c>
      <c r="AE8" s="103" t="s">
        <v>9</v>
      </c>
      <c r="AF8" s="107"/>
      <c r="AG8" s="102"/>
      <c r="AH8" s="103"/>
      <c r="AI8" s="103" t="s">
        <v>1</v>
      </c>
      <c r="AJ8" s="104"/>
      <c r="AK8" s="107">
        <v>45933</v>
      </c>
      <c r="AL8" s="104" t="s">
        <v>171</v>
      </c>
      <c r="AM8" s="104" t="s">
        <v>17</v>
      </c>
      <c r="AN8" s="107">
        <v>45939</v>
      </c>
      <c r="AO8" s="108"/>
    </row>
    <row r="9" spans="1:42" s="109" customFormat="1" x14ac:dyDescent="0.45">
      <c r="A9" s="99" t="s">
        <v>172</v>
      </c>
      <c r="B9" s="100">
        <v>45778</v>
      </c>
      <c r="C9" s="101">
        <v>2025</v>
      </c>
      <c r="D9" s="102" t="s">
        <v>105</v>
      </c>
      <c r="E9" s="102" t="s">
        <v>24</v>
      </c>
      <c r="F9" s="102" t="s">
        <v>35</v>
      </c>
      <c r="G9" s="102" t="s">
        <v>35</v>
      </c>
      <c r="H9" s="102" t="s">
        <v>106</v>
      </c>
      <c r="I9" s="102" t="s">
        <v>9</v>
      </c>
      <c r="J9" s="102" t="s">
        <v>107</v>
      </c>
      <c r="K9" s="102" t="s">
        <v>108</v>
      </c>
      <c r="L9" s="102" t="s">
        <v>109</v>
      </c>
      <c r="M9" s="102" t="s">
        <v>110</v>
      </c>
      <c r="N9" s="102" t="s">
        <v>111</v>
      </c>
      <c r="O9" s="103" t="s">
        <v>49</v>
      </c>
      <c r="P9" s="103" t="s">
        <v>112</v>
      </c>
      <c r="Q9" s="102" t="s">
        <v>173</v>
      </c>
      <c r="R9" s="103" t="s">
        <v>174</v>
      </c>
      <c r="S9" s="104" t="s">
        <v>175</v>
      </c>
      <c r="T9" s="103">
        <v>10</v>
      </c>
      <c r="U9" s="103" t="s">
        <v>116</v>
      </c>
      <c r="V9" s="103">
        <v>10</v>
      </c>
      <c r="W9" s="103"/>
      <c r="X9" s="105"/>
      <c r="Y9" s="103">
        <v>5000</v>
      </c>
      <c r="Z9" s="103" t="s">
        <v>117</v>
      </c>
      <c r="AA9" s="102" t="s">
        <v>53</v>
      </c>
      <c r="AB9" s="102" t="s">
        <v>169</v>
      </c>
      <c r="AC9" s="106" t="s">
        <v>170</v>
      </c>
      <c r="AD9" s="102" t="s">
        <v>120</v>
      </c>
      <c r="AE9" s="103" t="s">
        <v>9</v>
      </c>
      <c r="AF9" s="107"/>
      <c r="AG9" s="102"/>
      <c r="AH9" s="103"/>
      <c r="AI9" s="103" t="s">
        <v>1</v>
      </c>
      <c r="AJ9" s="104"/>
      <c r="AK9" s="107">
        <v>45933</v>
      </c>
      <c r="AL9" s="104" t="s">
        <v>171</v>
      </c>
      <c r="AM9" s="104" t="s">
        <v>17</v>
      </c>
      <c r="AN9" s="107">
        <v>45939</v>
      </c>
      <c r="AO9" s="108"/>
    </row>
    <row r="10" spans="1:42" s="109" customFormat="1" x14ac:dyDescent="0.45">
      <c r="A10" s="99" t="s">
        <v>176</v>
      </c>
      <c r="B10" s="100">
        <v>45778</v>
      </c>
      <c r="C10" s="101">
        <v>2025</v>
      </c>
      <c r="D10" s="102" t="s">
        <v>105</v>
      </c>
      <c r="E10" s="102" t="s">
        <v>24</v>
      </c>
      <c r="F10" s="102" t="s">
        <v>35</v>
      </c>
      <c r="G10" s="102" t="s">
        <v>35</v>
      </c>
      <c r="H10" s="102" t="s">
        <v>106</v>
      </c>
      <c r="I10" s="102" t="s">
        <v>9</v>
      </c>
      <c r="J10" s="102" t="s">
        <v>107</v>
      </c>
      <c r="K10" s="102" t="s">
        <v>108</v>
      </c>
      <c r="L10" s="102" t="s">
        <v>109</v>
      </c>
      <c r="M10" s="102" t="s">
        <v>110</v>
      </c>
      <c r="N10" s="102" t="s">
        <v>111</v>
      </c>
      <c r="O10" s="103" t="s">
        <v>49</v>
      </c>
      <c r="P10" s="103" t="s">
        <v>112</v>
      </c>
      <c r="Q10" s="102" t="s">
        <v>177</v>
      </c>
      <c r="R10" s="103" t="s">
        <v>178</v>
      </c>
      <c r="S10" s="104" t="s">
        <v>179</v>
      </c>
      <c r="T10" s="103">
        <v>9.5</v>
      </c>
      <c r="U10" s="103" t="s">
        <v>116</v>
      </c>
      <c r="V10" s="103">
        <v>9.5</v>
      </c>
      <c r="W10" s="103"/>
      <c r="X10" s="105"/>
      <c r="Y10" s="103">
        <v>8000</v>
      </c>
      <c r="Z10" s="103" t="s">
        <v>117</v>
      </c>
      <c r="AA10" s="102" t="s">
        <v>53</v>
      </c>
      <c r="AB10" s="102" t="s">
        <v>169</v>
      </c>
      <c r="AC10" s="106" t="s">
        <v>180</v>
      </c>
      <c r="AD10" s="102" t="s">
        <v>120</v>
      </c>
      <c r="AE10" s="103" t="s">
        <v>9</v>
      </c>
      <c r="AF10" s="107"/>
      <c r="AG10" s="102"/>
      <c r="AH10" s="103"/>
      <c r="AI10" s="103" t="s">
        <v>1</v>
      </c>
      <c r="AJ10" s="104"/>
      <c r="AK10" s="107">
        <v>45933</v>
      </c>
      <c r="AL10" s="104" t="s">
        <v>181</v>
      </c>
      <c r="AM10" s="104" t="s">
        <v>17</v>
      </c>
      <c r="AN10" s="107">
        <v>45939</v>
      </c>
      <c r="AO10" s="108"/>
    </row>
    <row r="11" spans="1:42" s="109" customFormat="1" x14ac:dyDescent="0.45">
      <c r="A11" s="99" t="s">
        <v>182</v>
      </c>
      <c r="B11" s="100">
        <v>45778</v>
      </c>
      <c r="C11" s="101">
        <v>2025</v>
      </c>
      <c r="D11" s="102" t="s">
        <v>105</v>
      </c>
      <c r="E11" s="102" t="s">
        <v>24</v>
      </c>
      <c r="F11" s="102" t="s">
        <v>35</v>
      </c>
      <c r="G11" s="102" t="s">
        <v>35</v>
      </c>
      <c r="H11" s="102" t="s">
        <v>106</v>
      </c>
      <c r="I11" s="102" t="s">
        <v>9</v>
      </c>
      <c r="J11" s="102" t="s">
        <v>107</v>
      </c>
      <c r="K11" s="102" t="s">
        <v>108</v>
      </c>
      <c r="L11" s="102" t="s">
        <v>109</v>
      </c>
      <c r="M11" s="102" t="s">
        <v>110</v>
      </c>
      <c r="N11" s="102" t="s">
        <v>111</v>
      </c>
      <c r="O11" s="103" t="s">
        <v>49</v>
      </c>
      <c r="P11" s="103" t="s">
        <v>112</v>
      </c>
      <c r="Q11" s="102" t="s">
        <v>183</v>
      </c>
      <c r="R11" s="103" t="s">
        <v>184</v>
      </c>
      <c r="S11" s="104" t="s">
        <v>185</v>
      </c>
      <c r="T11" s="103">
        <v>11.3</v>
      </c>
      <c r="U11" s="103" t="s">
        <v>116</v>
      </c>
      <c r="V11" s="103">
        <v>11.3</v>
      </c>
      <c r="W11" s="103"/>
      <c r="X11" s="105"/>
      <c r="Y11" s="103">
        <v>5000</v>
      </c>
      <c r="Z11" s="103" t="s">
        <v>117</v>
      </c>
      <c r="AA11" s="102" t="s">
        <v>53</v>
      </c>
      <c r="AB11" s="102" t="s">
        <v>169</v>
      </c>
      <c r="AC11" s="106" t="s">
        <v>170</v>
      </c>
      <c r="AD11" s="102" t="s">
        <v>120</v>
      </c>
      <c r="AE11" s="103" t="s">
        <v>9</v>
      </c>
      <c r="AF11" s="107"/>
      <c r="AG11" s="102"/>
      <c r="AH11" s="103"/>
      <c r="AI11" s="103" t="s">
        <v>1</v>
      </c>
      <c r="AJ11" s="104"/>
      <c r="AK11" s="107">
        <v>45933</v>
      </c>
      <c r="AL11" s="104" t="s">
        <v>171</v>
      </c>
      <c r="AM11" s="104" t="s">
        <v>17</v>
      </c>
      <c r="AN11" s="107">
        <v>45939</v>
      </c>
      <c r="AO11" s="108"/>
    </row>
    <row r="12" spans="1:42" s="109" customFormat="1" x14ac:dyDescent="0.45">
      <c r="A12" s="99" t="s">
        <v>186</v>
      </c>
      <c r="B12" s="100">
        <v>45778</v>
      </c>
      <c r="C12" s="101">
        <v>2025</v>
      </c>
      <c r="D12" s="102" t="s">
        <v>105</v>
      </c>
      <c r="E12" s="102" t="s">
        <v>24</v>
      </c>
      <c r="F12" s="102" t="s">
        <v>35</v>
      </c>
      <c r="G12" s="102" t="s">
        <v>35</v>
      </c>
      <c r="H12" s="102" t="s">
        <v>106</v>
      </c>
      <c r="I12" s="102" t="s">
        <v>9</v>
      </c>
      <c r="J12" s="102" t="s">
        <v>107</v>
      </c>
      <c r="K12" s="102" t="s">
        <v>108</v>
      </c>
      <c r="L12" s="102" t="s">
        <v>109</v>
      </c>
      <c r="M12" s="102" t="s">
        <v>110</v>
      </c>
      <c r="N12" s="102" t="s">
        <v>111</v>
      </c>
      <c r="O12" s="103" t="s">
        <v>49</v>
      </c>
      <c r="P12" s="103" t="s">
        <v>112</v>
      </c>
      <c r="Q12" s="102" t="s">
        <v>187</v>
      </c>
      <c r="R12" s="103" t="s">
        <v>188</v>
      </c>
      <c r="S12" s="104" t="s">
        <v>189</v>
      </c>
      <c r="T12" s="103">
        <v>13.4</v>
      </c>
      <c r="U12" s="103" t="s">
        <v>116</v>
      </c>
      <c r="V12" s="103">
        <v>13.4</v>
      </c>
      <c r="W12" s="103"/>
      <c r="X12" s="105"/>
      <c r="Y12" s="103">
        <v>5000</v>
      </c>
      <c r="Z12" s="103" t="s">
        <v>117</v>
      </c>
      <c r="AA12" s="102" t="s">
        <v>53</v>
      </c>
      <c r="AB12" s="102" t="s">
        <v>169</v>
      </c>
      <c r="AC12" s="106" t="s">
        <v>170</v>
      </c>
      <c r="AD12" s="102" t="s">
        <v>120</v>
      </c>
      <c r="AE12" s="103" t="s">
        <v>9</v>
      </c>
      <c r="AF12" s="107"/>
      <c r="AG12" s="102"/>
      <c r="AH12" s="103"/>
      <c r="AI12" s="103" t="s">
        <v>1</v>
      </c>
      <c r="AJ12" s="104"/>
      <c r="AK12" s="107">
        <v>45933</v>
      </c>
      <c r="AL12" s="104" t="s">
        <v>171</v>
      </c>
      <c r="AM12" s="104" t="s">
        <v>17</v>
      </c>
      <c r="AN12" s="107">
        <v>45939</v>
      </c>
      <c r="AO12" s="108"/>
    </row>
    <row r="13" spans="1:42" s="109" customFormat="1" x14ac:dyDescent="0.45">
      <c r="A13" s="99" t="s">
        <v>190</v>
      </c>
      <c r="B13" s="100">
        <v>45778</v>
      </c>
      <c r="C13" s="101">
        <v>2025</v>
      </c>
      <c r="D13" s="102" t="s">
        <v>105</v>
      </c>
      <c r="E13" s="102" t="s">
        <v>24</v>
      </c>
      <c r="F13" s="102" t="s">
        <v>35</v>
      </c>
      <c r="G13" s="102" t="s">
        <v>35</v>
      </c>
      <c r="H13" s="102" t="s">
        <v>106</v>
      </c>
      <c r="I13" s="102" t="s">
        <v>9</v>
      </c>
      <c r="J13" s="102" t="s">
        <v>107</v>
      </c>
      <c r="K13" s="102" t="s">
        <v>108</v>
      </c>
      <c r="L13" s="102" t="s">
        <v>109</v>
      </c>
      <c r="M13" s="102" t="s">
        <v>110</v>
      </c>
      <c r="N13" s="102" t="s">
        <v>111</v>
      </c>
      <c r="O13" s="103" t="s">
        <v>49</v>
      </c>
      <c r="P13" s="103" t="s">
        <v>112</v>
      </c>
      <c r="Q13" s="102" t="s">
        <v>191</v>
      </c>
      <c r="R13" s="103" t="s">
        <v>192</v>
      </c>
      <c r="S13" s="104" t="s">
        <v>193</v>
      </c>
      <c r="T13" s="103">
        <v>10.5</v>
      </c>
      <c r="U13" s="103" t="s">
        <v>116</v>
      </c>
      <c r="V13" s="103">
        <v>10.5</v>
      </c>
      <c r="W13" s="103"/>
      <c r="X13" s="105"/>
      <c r="Y13" s="103">
        <v>5000</v>
      </c>
      <c r="Z13" s="103" t="s">
        <v>117</v>
      </c>
      <c r="AA13" s="102" t="s">
        <v>53</v>
      </c>
      <c r="AB13" s="102" t="s">
        <v>169</v>
      </c>
      <c r="AC13" s="106" t="s">
        <v>170</v>
      </c>
      <c r="AD13" s="102" t="s">
        <v>120</v>
      </c>
      <c r="AE13" s="103" t="s">
        <v>9</v>
      </c>
      <c r="AF13" s="107"/>
      <c r="AG13" s="102"/>
      <c r="AH13" s="103"/>
      <c r="AI13" s="103" t="s">
        <v>1</v>
      </c>
      <c r="AJ13" s="104"/>
      <c r="AK13" s="107">
        <v>45933</v>
      </c>
      <c r="AL13" s="104" t="s">
        <v>171</v>
      </c>
      <c r="AM13" s="104" t="s">
        <v>17</v>
      </c>
      <c r="AN13" s="107">
        <v>45939</v>
      </c>
      <c r="AO13" s="108"/>
    </row>
    <row r="14" spans="1:42" s="109" customFormat="1" x14ac:dyDescent="0.45">
      <c r="A14" s="99" t="s">
        <v>194</v>
      </c>
      <c r="B14" s="100">
        <v>45778</v>
      </c>
      <c r="C14" s="101">
        <v>2025</v>
      </c>
      <c r="D14" s="102" t="s">
        <v>105</v>
      </c>
      <c r="E14" s="102" t="s">
        <v>24</v>
      </c>
      <c r="F14" s="102" t="s">
        <v>35</v>
      </c>
      <c r="G14" s="102" t="s">
        <v>35</v>
      </c>
      <c r="H14" s="102" t="s">
        <v>106</v>
      </c>
      <c r="I14" s="102" t="s">
        <v>9</v>
      </c>
      <c r="J14" s="102" t="s">
        <v>107</v>
      </c>
      <c r="K14" s="102" t="s">
        <v>108</v>
      </c>
      <c r="L14" s="102" t="s">
        <v>109</v>
      </c>
      <c r="M14" s="102" t="s">
        <v>110</v>
      </c>
      <c r="N14" s="102" t="s">
        <v>111</v>
      </c>
      <c r="O14" s="103" t="s">
        <v>49</v>
      </c>
      <c r="P14" s="103" t="s">
        <v>112</v>
      </c>
      <c r="Q14" s="102" t="s">
        <v>195</v>
      </c>
      <c r="R14" s="103" t="s">
        <v>196</v>
      </c>
      <c r="S14" s="104" t="s">
        <v>197</v>
      </c>
      <c r="T14" s="103">
        <v>9.5</v>
      </c>
      <c r="U14" s="103" t="s">
        <v>116</v>
      </c>
      <c r="V14" s="103">
        <v>9.5</v>
      </c>
      <c r="W14" s="103"/>
      <c r="X14" s="105"/>
      <c r="Y14" s="103">
        <v>5000</v>
      </c>
      <c r="Z14" s="103" t="s">
        <v>117</v>
      </c>
      <c r="AA14" s="102" t="s">
        <v>53</v>
      </c>
      <c r="AB14" s="102" t="s">
        <v>169</v>
      </c>
      <c r="AC14" s="106" t="s">
        <v>170</v>
      </c>
      <c r="AD14" s="102" t="s">
        <v>120</v>
      </c>
      <c r="AE14" s="103" t="s">
        <v>9</v>
      </c>
      <c r="AF14" s="107"/>
      <c r="AG14" s="102"/>
      <c r="AH14" s="103"/>
      <c r="AI14" s="103" t="s">
        <v>1</v>
      </c>
      <c r="AJ14" s="104"/>
      <c r="AK14" s="107">
        <v>45933</v>
      </c>
      <c r="AL14" s="104" t="s">
        <v>171</v>
      </c>
      <c r="AM14" s="104" t="s">
        <v>17</v>
      </c>
      <c r="AN14" s="107">
        <v>45939</v>
      </c>
      <c r="AO14" s="108"/>
    </row>
    <row r="15" spans="1:42" s="109" customFormat="1" x14ac:dyDescent="0.45">
      <c r="A15" s="99" t="s">
        <v>198</v>
      </c>
      <c r="B15" s="100">
        <v>45778</v>
      </c>
      <c r="C15" s="101">
        <v>2025</v>
      </c>
      <c r="D15" s="102" t="s">
        <v>105</v>
      </c>
      <c r="E15" s="102" t="s">
        <v>24</v>
      </c>
      <c r="F15" s="102" t="s">
        <v>35</v>
      </c>
      <c r="G15" s="102" t="s">
        <v>35</v>
      </c>
      <c r="H15" s="102" t="s">
        <v>106</v>
      </c>
      <c r="I15" s="102" t="s">
        <v>9</v>
      </c>
      <c r="J15" s="102" t="s">
        <v>107</v>
      </c>
      <c r="K15" s="102" t="s">
        <v>108</v>
      </c>
      <c r="L15" s="102" t="s">
        <v>109</v>
      </c>
      <c r="M15" s="102" t="s">
        <v>110</v>
      </c>
      <c r="N15" s="102" t="s">
        <v>111</v>
      </c>
      <c r="O15" s="103" t="s">
        <v>49</v>
      </c>
      <c r="P15" s="103" t="s">
        <v>112</v>
      </c>
      <c r="Q15" s="124" t="s">
        <v>199</v>
      </c>
      <c r="R15" s="103" t="s">
        <v>200</v>
      </c>
      <c r="S15" s="104" t="s">
        <v>201</v>
      </c>
      <c r="T15" s="103">
        <v>9.5</v>
      </c>
      <c r="U15" s="103" t="s">
        <v>116</v>
      </c>
      <c r="V15" s="103">
        <v>9.5</v>
      </c>
      <c r="W15" s="103"/>
      <c r="X15" s="105"/>
      <c r="Y15" s="103">
        <v>9000</v>
      </c>
      <c r="Z15" s="103" t="s">
        <v>117</v>
      </c>
      <c r="AA15" s="102" t="s">
        <v>53</v>
      </c>
      <c r="AB15" s="102" t="s">
        <v>169</v>
      </c>
      <c r="AC15" s="106" t="s">
        <v>202</v>
      </c>
      <c r="AD15" s="102" t="s">
        <v>120</v>
      </c>
      <c r="AE15" s="103" t="s">
        <v>9</v>
      </c>
      <c r="AF15" s="107"/>
      <c r="AG15" s="102"/>
      <c r="AH15" s="103"/>
      <c r="AI15" s="103" t="s">
        <v>1</v>
      </c>
      <c r="AJ15" s="104"/>
      <c r="AK15" s="107">
        <v>45933</v>
      </c>
      <c r="AL15" s="104" t="s">
        <v>203</v>
      </c>
      <c r="AM15" s="104" t="s">
        <v>17</v>
      </c>
      <c r="AN15" s="107">
        <v>45939</v>
      </c>
      <c r="AO15" s="108"/>
    </row>
    <row r="16" spans="1:42" s="109" customFormat="1" x14ac:dyDescent="0.45">
      <c r="A16" s="99" t="s">
        <v>204</v>
      </c>
      <c r="B16" s="100">
        <v>45778</v>
      </c>
      <c r="C16" s="101">
        <v>2025</v>
      </c>
      <c r="D16" s="102" t="s">
        <v>105</v>
      </c>
      <c r="E16" s="102" t="s">
        <v>24</v>
      </c>
      <c r="F16" s="102" t="s">
        <v>35</v>
      </c>
      <c r="G16" s="102" t="s">
        <v>35</v>
      </c>
      <c r="H16" s="102" t="s">
        <v>106</v>
      </c>
      <c r="I16" s="102" t="s">
        <v>9</v>
      </c>
      <c r="J16" s="102" t="s">
        <v>107</v>
      </c>
      <c r="K16" s="102" t="s">
        <v>108</v>
      </c>
      <c r="L16" s="102" t="s">
        <v>109</v>
      </c>
      <c r="M16" s="102" t="s">
        <v>110</v>
      </c>
      <c r="N16" s="102" t="s">
        <v>111</v>
      </c>
      <c r="O16" s="103" t="s">
        <v>49</v>
      </c>
      <c r="P16" s="103" t="s">
        <v>112</v>
      </c>
      <c r="Q16" s="102" t="s">
        <v>205</v>
      </c>
      <c r="R16" s="103" t="s">
        <v>206</v>
      </c>
      <c r="S16" s="104" t="s">
        <v>207</v>
      </c>
      <c r="T16" s="103">
        <v>9.5</v>
      </c>
      <c r="U16" s="103" t="s">
        <v>116</v>
      </c>
      <c r="V16" s="103">
        <v>9.5</v>
      </c>
      <c r="W16" s="103"/>
      <c r="X16" s="105"/>
      <c r="Y16" s="103">
        <v>75000</v>
      </c>
      <c r="Z16" s="103" t="s">
        <v>117</v>
      </c>
      <c r="AA16" s="102" t="s">
        <v>53</v>
      </c>
      <c r="AB16" s="102" t="s">
        <v>169</v>
      </c>
      <c r="AC16" s="106" t="s">
        <v>208</v>
      </c>
      <c r="AD16" s="102" t="s">
        <v>120</v>
      </c>
      <c r="AE16" s="103" t="s">
        <v>9</v>
      </c>
      <c r="AF16" s="107"/>
      <c r="AG16" s="102"/>
      <c r="AH16" s="103"/>
      <c r="AI16" s="103" t="s">
        <v>1</v>
      </c>
      <c r="AJ16" s="104"/>
      <c r="AK16" s="107">
        <v>45933</v>
      </c>
      <c r="AL16" s="104" t="s">
        <v>209</v>
      </c>
      <c r="AM16" s="104" t="s">
        <v>17</v>
      </c>
      <c r="AN16" s="107">
        <v>45939</v>
      </c>
      <c r="AO16" s="108"/>
    </row>
    <row r="17" spans="1:43" s="109" customFormat="1" x14ac:dyDescent="0.45">
      <c r="A17" s="99" t="s">
        <v>210</v>
      </c>
      <c r="B17" s="100">
        <v>45778</v>
      </c>
      <c r="C17" s="101">
        <v>2025</v>
      </c>
      <c r="D17" s="102" t="s">
        <v>105</v>
      </c>
      <c r="E17" s="102" t="s">
        <v>24</v>
      </c>
      <c r="F17" s="102" t="s">
        <v>35</v>
      </c>
      <c r="G17" s="102" t="s">
        <v>35</v>
      </c>
      <c r="H17" s="102" t="s">
        <v>106</v>
      </c>
      <c r="I17" s="102" t="s">
        <v>9</v>
      </c>
      <c r="J17" s="102" t="s">
        <v>107</v>
      </c>
      <c r="K17" s="102" t="s">
        <v>108</v>
      </c>
      <c r="L17" s="102" t="s">
        <v>109</v>
      </c>
      <c r="M17" s="102" t="s">
        <v>110</v>
      </c>
      <c r="N17" s="102" t="s">
        <v>111</v>
      </c>
      <c r="O17" s="103" t="s">
        <v>49</v>
      </c>
      <c r="P17" s="103" t="s">
        <v>112</v>
      </c>
      <c r="Q17" s="102" t="s">
        <v>211</v>
      </c>
      <c r="R17" s="103" t="s">
        <v>212</v>
      </c>
      <c r="S17" s="104" t="s">
        <v>213</v>
      </c>
      <c r="T17" s="103">
        <v>9.5</v>
      </c>
      <c r="U17" s="103" t="s">
        <v>116</v>
      </c>
      <c r="V17" s="103">
        <v>9.5</v>
      </c>
      <c r="W17" s="103"/>
      <c r="X17" s="105"/>
      <c r="Y17" s="103">
        <v>5000</v>
      </c>
      <c r="Z17" s="103" t="s">
        <v>117</v>
      </c>
      <c r="AA17" s="102" t="s">
        <v>53</v>
      </c>
      <c r="AB17" s="102" t="s">
        <v>169</v>
      </c>
      <c r="AC17" s="106" t="s">
        <v>170</v>
      </c>
      <c r="AD17" s="102" t="s">
        <v>120</v>
      </c>
      <c r="AE17" s="103" t="s">
        <v>9</v>
      </c>
      <c r="AF17" s="107"/>
      <c r="AG17" s="102"/>
      <c r="AH17" s="103"/>
      <c r="AI17" s="103" t="s">
        <v>1</v>
      </c>
      <c r="AJ17" s="104"/>
      <c r="AK17" s="107">
        <v>45933</v>
      </c>
      <c r="AL17" s="104" t="s">
        <v>171</v>
      </c>
      <c r="AM17" s="104" t="s">
        <v>17</v>
      </c>
      <c r="AN17" s="107">
        <v>45939</v>
      </c>
      <c r="AO17" s="108"/>
    </row>
    <row r="18" spans="1:43" x14ac:dyDescent="0.45">
      <c r="A18" s="35" t="s">
        <v>214</v>
      </c>
      <c r="B18" s="6">
        <v>45870</v>
      </c>
      <c r="C18" s="7">
        <v>2025</v>
      </c>
      <c r="D18" s="5" t="s">
        <v>105</v>
      </c>
      <c r="E18" s="5" t="s">
        <v>24</v>
      </c>
      <c r="F18" s="5" t="s">
        <v>123</v>
      </c>
      <c r="G18" s="5" t="s">
        <v>50</v>
      </c>
      <c r="H18" s="5" t="s">
        <v>124</v>
      </c>
      <c r="I18" s="5" t="s">
        <v>10</v>
      </c>
      <c r="J18" s="5" t="s">
        <v>215</v>
      </c>
      <c r="K18" s="5" t="s">
        <v>216</v>
      </c>
      <c r="L18" s="5" t="s">
        <v>149</v>
      </c>
      <c r="M18" s="5" t="s">
        <v>217</v>
      </c>
      <c r="N18" s="5" t="s">
        <v>112</v>
      </c>
      <c r="O18" s="8" t="s">
        <v>218</v>
      </c>
      <c r="P18" s="8" t="s">
        <v>112</v>
      </c>
      <c r="Q18" s="5" t="s">
        <v>219</v>
      </c>
      <c r="R18" s="8" t="s">
        <v>220</v>
      </c>
      <c r="S18" s="9" t="s">
        <v>221</v>
      </c>
      <c r="T18" s="8">
        <v>1.6</v>
      </c>
      <c r="U18" s="8" t="s">
        <v>116</v>
      </c>
      <c r="V18" s="8">
        <v>1.6</v>
      </c>
      <c r="W18" s="8"/>
      <c r="X18" s="10"/>
      <c r="Y18" s="8">
        <v>10000</v>
      </c>
      <c r="Z18" s="8" t="s">
        <v>117</v>
      </c>
      <c r="AA18" s="5" t="s">
        <v>42</v>
      </c>
      <c r="AB18" s="5" t="s">
        <v>222</v>
      </c>
      <c r="AC18" s="12"/>
      <c r="AD18" s="5" t="s">
        <v>112</v>
      </c>
      <c r="AE18" s="8" t="s">
        <v>9</v>
      </c>
      <c r="AF18" s="11"/>
      <c r="AG18" s="5"/>
      <c r="AH18" s="8"/>
      <c r="AI18" s="8" t="s">
        <v>1</v>
      </c>
      <c r="AJ18" s="9"/>
      <c r="AK18" s="11">
        <v>45939</v>
      </c>
      <c r="AL18" s="13" t="s">
        <v>223</v>
      </c>
      <c r="AM18" s="9" t="s">
        <v>17</v>
      </c>
      <c r="AN18" s="11">
        <v>45943</v>
      </c>
      <c r="AO18" s="38"/>
    </row>
    <row r="19" spans="1:43" x14ac:dyDescent="0.45">
      <c r="A19" s="35" t="s">
        <v>224</v>
      </c>
      <c r="B19" s="6">
        <v>45870</v>
      </c>
      <c r="C19" s="7">
        <v>2025</v>
      </c>
      <c r="D19" s="5" t="s">
        <v>105</v>
      </c>
      <c r="E19" s="5" t="s">
        <v>24</v>
      </c>
      <c r="F19" s="5" t="s">
        <v>123</v>
      </c>
      <c r="G19" s="5" t="s">
        <v>50</v>
      </c>
      <c r="H19" s="5" t="s">
        <v>124</v>
      </c>
      <c r="I19" s="5" t="s">
        <v>10</v>
      </c>
      <c r="J19" s="5" t="s">
        <v>225</v>
      </c>
      <c r="K19" s="5" t="s">
        <v>226</v>
      </c>
      <c r="L19" s="5" t="s">
        <v>127</v>
      </c>
      <c r="M19" s="5" t="s">
        <v>227</v>
      </c>
      <c r="N19" s="5" t="s">
        <v>228</v>
      </c>
      <c r="O19" s="8" t="s">
        <v>229</v>
      </c>
      <c r="P19" s="8" t="s">
        <v>112</v>
      </c>
      <c r="Q19" s="5" t="s">
        <v>230</v>
      </c>
      <c r="R19" s="8" t="s">
        <v>231</v>
      </c>
      <c r="S19" s="9" t="s">
        <v>232</v>
      </c>
      <c r="T19" s="8">
        <v>2</v>
      </c>
      <c r="U19" s="8" t="s">
        <v>116</v>
      </c>
      <c r="V19" s="8">
        <v>2</v>
      </c>
      <c r="W19" s="8"/>
      <c r="X19" s="10"/>
      <c r="Y19" s="8">
        <v>200000</v>
      </c>
      <c r="Z19" s="8" t="s">
        <v>117</v>
      </c>
      <c r="AA19" s="5" t="s">
        <v>42</v>
      </c>
      <c r="AB19" s="5" t="s">
        <v>222</v>
      </c>
      <c r="AC19" s="12"/>
      <c r="AD19" s="5"/>
      <c r="AE19" s="8" t="s">
        <v>9</v>
      </c>
      <c r="AF19" s="11"/>
      <c r="AG19" s="5"/>
      <c r="AH19" s="8"/>
      <c r="AI19" s="8" t="s">
        <v>1</v>
      </c>
      <c r="AJ19" s="9"/>
      <c r="AK19" s="11">
        <v>45951</v>
      </c>
      <c r="AL19" s="13" t="s">
        <v>233</v>
      </c>
      <c r="AM19" s="9" t="s">
        <v>17</v>
      </c>
      <c r="AN19" s="11">
        <v>45957</v>
      </c>
      <c r="AO19" s="38"/>
    </row>
    <row r="20" spans="1:43" x14ac:dyDescent="0.45">
      <c r="A20" s="35" t="s">
        <v>234</v>
      </c>
      <c r="B20" s="6">
        <v>45870</v>
      </c>
      <c r="C20" s="7">
        <v>2025</v>
      </c>
      <c r="D20" s="5" t="s">
        <v>105</v>
      </c>
      <c r="E20" s="5" t="s">
        <v>24</v>
      </c>
      <c r="F20" s="5" t="s">
        <v>123</v>
      </c>
      <c r="G20" s="5" t="s">
        <v>50</v>
      </c>
      <c r="H20" s="5" t="s">
        <v>124</v>
      </c>
      <c r="I20" s="5" t="s">
        <v>9</v>
      </c>
      <c r="J20" s="5" t="s">
        <v>235</v>
      </c>
      <c r="K20" s="5" t="s">
        <v>236</v>
      </c>
      <c r="L20" s="5" t="s">
        <v>237</v>
      </c>
      <c r="M20" s="5" t="s">
        <v>238</v>
      </c>
      <c r="N20" s="5" t="s">
        <v>239</v>
      </c>
      <c r="O20" s="8" t="s">
        <v>240</v>
      </c>
      <c r="P20" s="8" t="s">
        <v>241</v>
      </c>
      <c r="Q20" s="5" t="s">
        <v>242</v>
      </c>
      <c r="R20" s="8" t="s">
        <v>243</v>
      </c>
      <c r="S20" s="9" t="s">
        <v>244</v>
      </c>
      <c r="T20" s="8">
        <v>1.68</v>
      </c>
      <c r="U20" s="8" t="s">
        <v>116</v>
      </c>
      <c r="V20" s="8">
        <v>1.68</v>
      </c>
      <c r="W20" s="8">
        <v>12.76</v>
      </c>
      <c r="X20" s="10">
        <v>0.86833855799373039</v>
      </c>
      <c r="Y20" s="8">
        <v>10000</v>
      </c>
      <c r="Z20" s="8" t="s">
        <v>117</v>
      </c>
      <c r="AA20" s="5" t="s">
        <v>42</v>
      </c>
      <c r="AB20" s="5" t="s">
        <v>245</v>
      </c>
      <c r="AC20" s="12"/>
      <c r="AD20" s="5" t="s">
        <v>7</v>
      </c>
      <c r="AE20" s="8" t="s">
        <v>9</v>
      </c>
      <c r="AF20" s="11"/>
      <c r="AG20" s="5" t="s">
        <v>246</v>
      </c>
      <c r="AH20" s="8"/>
      <c r="AI20" s="8" t="s">
        <v>2</v>
      </c>
      <c r="AJ20" s="9" t="s">
        <v>1520</v>
      </c>
      <c r="AK20" s="11"/>
      <c r="AL20" s="9"/>
      <c r="AM20" s="9"/>
      <c r="AN20" s="11"/>
      <c r="AO20" s="108" t="s">
        <v>1521</v>
      </c>
      <c r="AP20" s="108" t="s">
        <v>247</v>
      </c>
      <c r="AQ20" s="109"/>
    </row>
    <row r="21" spans="1:43" x14ac:dyDescent="0.45">
      <c r="A21" s="35" t="s">
        <v>248</v>
      </c>
      <c r="B21" s="6">
        <v>45839</v>
      </c>
      <c r="C21" s="7">
        <v>2025</v>
      </c>
      <c r="D21" s="5" t="s">
        <v>105</v>
      </c>
      <c r="E21" s="5" t="s">
        <v>24</v>
      </c>
      <c r="F21" s="5" t="s">
        <v>123</v>
      </c>
      <c r="G21" s="5" t="s">
        <v>50</v>
      </c>
      <c r="H21" s="5" t="s">
        <v>124</v>
      </c>
      <c r="I21" s="5" t="s">
        <v>10</v>
      </c>
      <c r="J21" s="5" t="s">
        <v>249</v>
      </c>
      <c r="K21" s="5" t="s">
        <v>250</v>
      </c>
      <c r="L21" s="5" t="s">
        <v>149</v>
      </c>
      <c r="M21" s="5" t="s">
        <v>251</v>
      </c>
      <c r="N21" s="5" t="s">
        <v>252</v>
      </c>
      <c r="O21" s="8" t="s">
        <v>253</v>
      </c>
      <c r="P21" s="8" t="s">
        <v>112</v>
      </c>
      <c r="Q21" s="5" t="s">
        <v>254</v>
      </c>
      <c r="R21" s="8" t="s">
        <v>255</v>
      </c>
      <c r="S21" s="9" t="s">
        <v>256</v>
      </c>
      <c r="T21" s="8">
        <v>0.65</v>
      </c>
      <c r="U21" s="8" t="s">
        <v>116</v>
      </c>
      <c r="V21" s="8">
        <v>0.65</v>
      </c>
      <c r="W21" s="8"/>
      <c r="X21" s="10"/>
      <c r="Y21" s="8">
        <v>100000</v>
      </c>
      <c r="Z21" s="8" t="s">
        <v>117</v>
      </c>
      <c r="AA21" s="5" t="s">
        <v>33</v>
      </c>
      <c r="AB21" s="5" t="s">
        <v>257</v>
      </c>
      <c r="AC21" s="12"/>
      <c r="AD21" s="5" t="s">
        <v>120</v>
      </c>
      <c r="AE21" s="8" t="s">
        <v>9</v>
      </c>
      <c r="AF21" s="11"/>
      <c r="AG21" s="5"/>
      <c r="AH21" s="8"/>
      <c r="AI21" s="8" t="s">
        <v>1</v>
      </c>
      <c r="AJ21" s="9"/>
      <c r="AK21" s="11">
        <v>45939</v>
      </c>
      <c r="AL21" s="9"/>
      <c r="AM21" s="9" t="s">
        <v>17</v>
      </c>
      <c r="AN21" s="11">
        <v>45943</v>
      </c>
      <c r="AO21" s="38"/>
    </row>
    <row r="22" spans="1:43" x14ac:dyDescent="0.45">
      <c r="A22" s="35" t="s">
        <v>258</v>
      </c>
      <c r="B22" s="6">
        <v>45839</v>
      </c>
      <c r="C22" s="7">
        <v>2025</v>
      </c>
      <c r="D22" s="5" t="s">
        <v>105</v>
      </c>
      <c r="E22" s="5" t="s">
        <v>24</v>
      </c>
      <c r="F22" s="5" t="s">
        <v>123</v>
      </c>
      <c r="G22" s="5" t="s">
        <v>50</v>
      </c>
      <c r="H22" s="5" t="s">
        <v>124</v>
      </c>
      <c r="I22" s="5" t="s">
        <v>10</v>
      </c>
      <c r="J22" s="5" t="s">
        <v>259</v>
      </c>
      <c r="K22" s="5" t="s">
        <v>260</v>
      </c>
      <c r="L22" s="5" t="s">
        <v>261</v>
      </c>
      <c r="M22" s="5" t="s">
        <v>262</v>
      </c>
      <c r="N22" s="5" t="s">
        <v>263</v>
      </c>
      <c r="O22" s="8" t="s">
        <v>34</v>
      </c>
      <c r="P22" s="8" t="s">
        <v>112</v>
      </c>
      <c r="Q22" s="5" t="s">
        <v>264</v>
      </c>
      <c r="R22" s="8" t="s">
        <v>265</v>
      </c>
      <c r="S22" s="9" t="s">
        <v>266</v>
      </c>
      <c r="T22" s="8">
        <v>0.1</v>
      </c>
      <c r="U22" s="8" t="s">
        <v>116</v>
      </c>
      <c r="V22" s="8">
        <v>0.1</v>
      </c>
      <c r="W22" s="8"/>
      <c r="X22" s="10"/>
      <c r="Y22" s="8">
        <v>1000</v>
      </c>
      <c r="Z22" s="8" t="s">
        <v>117</v>
      </c>
      <c r="AA22" s="5" t="s">
        <v>33</v>
      </c>
      <c r="AB22" s="5" t="s">
        <v>267</v>
      </c>
      <c r="AC22" s="12"/>
      <c r="AD22" s="5" t="s">
        <v>120</v>
      </c>
      <c r="AE22" s="8" t="s">
        <v>9</v>
      </c>
      <c r="AF22" s="11"/>
      <c r="AG22" s="5"/>
      <c r="AH22" s="8"/>
      <c r="AI22" s="8" t="s">
        <v>1</v>
      </c>
      <c r="AJ22" s="9"/>
      <c r="AK22" s="11">
        <v>45939</v>
      </c>
      <c r="AL22" s="9"/>
      <c r="AM22" s="9" t="s">
        <v>17</v>
      </c>
      <c r="AN22" s="11">
        <v>45943</v>
      </c>
      <c r="AO22" s="38"/>
    </row>
    <row r="23" spans="1:43" x14ac:dyDescent="0.45">
      <c r="A23" s="35" t="s">
        <v>268</v>
      </c>
      <c r="B23" s="6">
        <v>45839</v>
      </c>
      <c r="C23" s="7">
        <v>2025</v>
      </c>
      <c r="D23" s="5" t="s">
        <v>105</v>
      </c>
      <c r="E23" s="5" t="s">
        <v>24</v>
      </c>
      <c r="F23" s="5" t="s">
        <v>123</v>
      </c>
      <c r="G23" s="5" t="s">
        <v>50</v>
      </c>
      <c r="H23" s="5" t="s">
        <v>124</v>
      </c>
      <c r="I23" s="5" t="s">
        <v>10</v>
      </c>
      <c r="J23" s="5" t="s">
        <v>249</v>
      </c>
      <c r="K23" s="5" t="s">
        <v>250</v>
      </c>
      <c r="L23" s="5" t="s">
        <v>149</v>
      </c>
      <c r="M23" s="5" t="s">
        <v>251</v>
      </c>
      <c r="N23" s="5" t="s">
        <v>252</v>
      </c>
      <c r="O23" s="8" t="s">
        <v>253</v>
      </c>
      <c r="P23" s="8" t="s">
        <v>112</v>
      </c>
      <c r="Q23" s="5" t="s">
        <v>269</v>
      </c>
      <c r="R23" s="8" t="s">
        <v>270</v>
      </c>
      <c r="S23" s="9" t="s">
        <v>271</v>
      </c>
      <c r="T23" s="8">
        <v>3.1</v>
      </c>
      <c r="U23" s="8" t="s">
        <v>116</v>
      </c>
      <c r="V23" s="8">
        <v>3.1</v>
      </c>
      <c r="W23" s="8"/>
      <c r="X23" s="10"/>
      <c r="Y23" s="8">
        <v>3049</v>
      </c>
      <c r="Z23" s="8" t="s">
        <v>117</v>
      </c>
      <c r="AA23" s="5" t="s">
        <v>33</v>
      </c>
      <c r="AB23" s="5"/>
      <c r="AC23" s="12"/>
      <c r="AD23" s="5" t="s">
        <v>120</v>
      </c>
      <c r="AE23" s="8" t="s">
        <v>9</v>
      </c>
      <c r="AF23" s="11"/>
      <c r="AG23" s="5"/>
      <c r="AH23" s="8"/>
      <c r="AI23" s="8" t="s">
        <v>1</v>
      </c>
      <c r="AJ23" s="9"/>
      <c r="AK23" s="11">
        <v>45939</v>
      </c>
      <c r="AL23" s="9"/>
      <c r="AM23" s="9" t="s">
        <v>17</v>
      </c>
      <c r="AN23" s="11">
        <v>45943</v>
      </c>
      <c r="AO23" s="38"/>
    </row>
    <row r="24" spans="1:43" x14ac:dyDescent="0.45">
      <c r="A24" s="35" t="s">
        <v>272</v>
      </c>
      <c r="B24" s="6">
        <v>45839</v>
      </c>
      <c r="C24" s="7">
        <v>2025</v>
      </c>
      <c r="D24" s="5" t="s">
        <v>105</v>
      </c>
      <c r="E24" s="5" t="s">
        <v>24</v>
      </c>
      <c r="F24" s="5" t="s">
        <v>123</v>
      </c>
      <c r="G24" s="5" t="s">
        <v>50</v>
      </c>
      <c r="H24" s="5" t="s">
        <v>124</v>
      </c>
      <c r="I24" s="5" t="s">
        <v>10</v>
      </c>
      <c r="J24" s="5" t="s">
        <v>225</v>
      </c>
      <c r="K24" s="5" t="s">
        <v>226</v>
      </c>
      <c r="L24" s="5" t="s">
        <v>127</v>
      </c>
      <c r="M24" s="5" t="s">
        <v>227</v>
      </c>
      <c r="N24" s="5" t="s">
        <v>228</v>
      </c>
      <c r="O24" s="8" t="s">
        <v>273</v>
      </c>
      <c r="P24" s="8" t="s">
        <v>112</v>
      </c>
      <c r="Q24" s="5" t="s">
        <v>274</v>
      </c>
      <c r="R24" s="8" t="s">
        <v>275</v>
      </c>
      <c r="S24" s="9" t="s">
        <v>276</v>
      </c>
      <c r="T24" s="8">
        <v>0.65</v>
      </c>
      <c r="U24" s="8" t="s">
        <v>116</v>
      </c>
      <c r="V24" s="8">
        <v>0.65</v>
      </c>
      <c r="W24" s="8"/>
      <c r="X24" s="10"/>
      <c r="Y24" s="8">
        <v>3001</v>
      </c>
      <c r="Z24" s="8" t="s">
        <v>117</v>
      </c>
      <c r="AA24" s="5" t="s">
        <v>33</v>
      </c>
      <c r="AB24" s="5"/>
      <c r="AC24" s="12"/>
      <c r="AD24" s="5" t="s">
        <v>120</v>
      </c>
      <c r="AE24" s="8" t="s">
        <v>9</v>
      </c>
      <c r="AF24" s="11"/>
      <c r="AG24" s="5"/>
      <c r="AH24" s="8"/>
      <c r="AI24" s="8" t="s">
        <v>1</v>
      </c>
      <c r="AJ24" s="9"/>
      <c r="AK24" s="11">
        <v>45939</v>
      </c>
      <c r="AL24" s="9"/>
      <c r="AM24" s="9" t="s">
        <v>17</v>
      </c>
      <c r="AN24" s="11">
        <v>45943</v>
      </c>
      <c r="AO24" s="38"/>
    </row>
    <row r="25" spans="1:43" x14ac:dyDescent="0.45">
      <c r="A25" s="35" t="s">
        <v>277</v>
      </c>
      <c r="B25" s="6">
        <v>45839</v>
      </c>
      <c r="C25" s="7">
        <v>2025</v>
      </c>
      <c r="D25" s="5" t="s">
        <v>105</v>
      </c>
      <c r="E25" s="5" t="s">
        <v>24</v>
      </c>
      <c r="F25" s="5" t="s">
        <v>123</v>
      </c>
      <c r="G25" s="5" t="s">
        <v>50</v>
      </c>
      <c r="H25" s="5" t="s">
        <v>124</v>
      </c>
      <c r="I25" s="5" t="s">
        <v>10</v>
      </c>
      <c r="J25" s="5" t="s">
        <v>225</v>
      </c>
      <c r="K25" s="5" t="s">
        <v>226</v>
      </c>
      <c r="L25" s="5" t="s">
        <v>127</v>
      </c>
      <c r="M25" s="5" t="s">
        <v>227</v>
      </c>
      <c r="N25" s="5" t="s">
        <v>228</v>
      </c>
      <c r="O25" s="8" t="s">
        <v>253</v>
      </c>
      <c r="P25" s="8" t="s">
        <v>112</v>
      </c>
      <c r="Q25" s="5" t="s">
        <v>278</v>
      </c>
      <c r="R25" s="8" t="s">
        <v>279</v>
      </c>
      <c r="S25" s="9" t="s">
        <v>280</v>
      </c>
      <c r="T25" s="8">
        <v>3.1</v>
      </c>
      <c r="U25" s="8" t="s">
        <v>116</v>
      </c>
      <c r="V25" s="8">
        <v>3.1</v>
      </c>
      <c r="W25" s="8"/>
      <c r="X25" s="10"/>
      <c r="Y25" s="8">
        <v>3049</v>
      </c>
      <c r="Z25" s="8" t="s">
        <v>117</v>
      </c>
      <c r="AA25" s="5" t="s">
        <v>33</v>
      </c>
      <c r="AB25" s="5"/>
      <c r="AC25" s="12"/>
      <c r="AD25" s="5" t="s">
        <v>120</v>
      </c>
      <c r="AE25" s="8" t="s">
        <v>9</v>
      </c>
      <c r="AF25" s="11"/>
      <c r="AG25" s="5"/>
      <c r="AH25" s="8"/>
      <c r="AI25" s="8" t="s">
        <v>1</v>
      </c>
      <c r="AJ25" s="9"/>
      <c r="AK25" s="11">
        <v>45939</v>
      </c>
      <c r="AL25" s="9"/>
      <c r="AM25" s="9" t="s">
        <v>17</v>
      </c>
      <c r="AN25" s="11">
        <v>45943</v>
      </c>
      <c r="AO25" s="38"/>
    </row>
    <row r="26" spans="1:43" x14ac:dyDescent="0.45">
      <c r="A26" s="35" t="s">
        <v>281</v>
      </c>
      <c r="B26" s="6">
        <v>45839</v>
      </c>
      <c r="C26" s="7">
        <v>2025</v>
      </c>
      <c r="D26" s="5" t="s">
        <v>105</v>
      </c>
      <c r="E26" s="5" t="s">
        <v>24</v>
      </c>
      <c r="F26" s="5" t="s">
        <v>123</v>
      </c>
      <c r="G26" s="5" t="s">
        <v>50</v>
      </c>
      <c r="H26" s="5" t="s">
        <v>124</v>
      </c>
      <c r="I26" s="5" t="s">
        <v>10</v>
      </c>
      <c r="J26" s="5" t="s">
        <v>259</v>
      </c>
      <c r="K26" s="5" t="s">
        <v>260</v>
      </c>
      <c r="L26" s="5" t="s">
        <v>261</v>
      </c>
      <c r="M26" s="5" t="s">
        <v>262</v>
      </c>
      <c r="N26" s="5" t="s">
        <v>263</v>
      </c>
      <c r="O26" s="8" t="s">
        <v>34</v>
      </c>
      <c r="P26" s="8" t="s">
        <v>112</v>
      </c>
      <c r="Q26" s="5" t="s">
        <v>282</v>
      </c>
      <c r="R26" s="8" t="s">
        <v>283</v>
      </c>
      <c r="S26" s="9" t="s">
        <v>284</v>
      </c>
      <c r="T26" s="8">
        <v>0.1</v>
      </c>
      <c r="U26" s="8" t="s">
        <v>116</v>
      </c>
      <c r="V26" s="8">
        <v>0.1</v>
      </c>
      <c r="W26" s="8"/>
      <c r="X26" s="10"/>
      <c r="Y26" s="8">
        <v>1000</v>
      </c>
      <c r="Z26" s="8" t="s">
        <v>117</v>
      </c>
      <c r="AA26" s="5" t="s">
        <v>33</v>
      </c>
      <c r="AB26" s="5"/>
      <c r="AC26" s="12"/>
      <c r="AD26" s="5" t="s">
        <v>120</v>
      </c>
      <c r="AE26" s="8" t="s">
        <v>9</v>
      </c>
      <c r="AF26" s="11"/>
      <c r="AG26" s="5"/>
      <c r="AH26" s="8"/>
      <c r="AI26" s="8" t="s">
        <v>1</v>
      </c>
      <c r="AJ26" s="9"/>
      <c r="AK26" s="11">
        <v>45939</v>
      </c>
      <c r="AL26" s="9"/>
      <c r="AM26" s="9" t="s">
        <v>17</v>
      </c>
      <c r="AN26" s="11">
        <v>45943</v>
      </c>
      <c r="AO26" s="38"/>
    </row>
    <row r="27" spans="1:43" x14ac:dyDescent="0.45">
      <c r="A27" s="35" t="s">
        <v>285</v>
      </c>
      <c r="B27" s="6">
        <v>45839</v>
      </c>
      <c r="C27" s="7">
        <v>2025</v>
      </c>
      <c r="D27" s="5" t="s">
        <v>105</v>
      </c>
      <c r="E27" s="5" t="s">
        <v>24</v>
      </c>
      <c r="F27" s="5" t="s">
        <v>123</v>
      </c>
      <c r="G27" s="5" t="s">
        <v>50</v>
      </c>
      <c r="H27" s="5" t="s">
        <v>124</v>
      </c>
      <c r="I27" s="5" t="s">
        <v>10</v>
      </c>
      <c r="J27" s="5" t="s">
        <v>225</v>
      </c>
      <c r="K27" s="5" t="s">
        <v>226</v>
      </c>
      <c r="L27" s="5" t="s">
        <v>127</v>
      </c>
      <c r="M27" s="5" t="s">
        <v>227</v>
      </c>
      <c r="N27" s="5" t="s">
        <v>228</v>
      </c>
      <c r="O27" s="8" t="s">
        <v>34</v>
      </c>
      <c r="P27" s="8" t="s">
        <v>112</v>
      </c>
      <c r="Q27" s="5" t="s">
        <v>286</v>
      </c>
      <c r="R27" s="8" t="s">
        <v>287</v>
      </c>
      <c r="S27" s="9" t="s">
        <v>288</v>
      </c>
      <c r="T27" s="8">
        <v>2</v>
      </c>
      <c r="U27" s="8" t="s">
        <v>116</v>
      </c>
      <c r="V27" s="8">
        <v>2</v>
      </c>
      <c r="W27" s="8"/>
      <c r="X27" s="10"/>
      <c r="Y27" s="8">
        <v>5</v>
      </c>
      <c r="Z27" s="8" t="s">
        <v>117</v>
      </c>
      <c r="AA27" s="5" t="s">
        <v>33</v>
      </c>
      <c r="AB27" s="5"/>
      <c r="AC27" s="12"/>
      <c r="AD27" s="5" t="s">
        <v>120</v>
      </c>
      <c r="AE27" s="8" t="s">
        <v>9</v>
      </c>
      <c r="AF27" s="11"/>
      <c r="AG27" s="5"/>
      <c r="AH27" s="8"/>
      <c r="AI27" s="8" t="s">
        <v>1</v>
      </c>
      <c r="AJ27" s="9"/>
      <c r="AK27" s="11">
        <v>45939</v>
      </c>
      <c r="AL27" s="9"/>
      <c r="AM27" s="9" t="s">
        <v>17</v>
      </c>
      <c r="AN27" s="11">
        <v>45943</v>
      </c>
      <c r="AO27" s="38"/>
    </row>
    <row r="28" spans="1:43" x14ac:dyDescent="0.45">
      <c r="A28" s="35" t="s">
        <v>289</v>
      </c>
      <c r="B28" s="6">
        <v>45870</v>
      </c>
      <c r="C28" s="7">
        <v>2025</v>
      </c>
      <c r="D28" s="5" t="s">
        <v>105</v>
      </c>
      <c r="E28" s="5" t="s">
        <v>24</v>
      </c>
      <c r="F28" s="5" t="s">
        <v>123</v>
      </c>
      <c r="G28" s="5" t="s">
        <v>50</v>
      </c>
      <c r="H28" s="5" t="s">
        <v>124</v>
      </c>
      <c r="I28" s="5" t="s">
        <v>10</v>
      </c>
      <c r="J28" s="5" t="s">
        <v>225</v>
      </c>
      <c r="K28" s="5" t="s">
        <v>226</v>
      </c>
      <c r="L28" s="5" t="s">
        <v>127</v>
      </c>
      <c r="M28" s="5" t="s">
        <v>227</v>
      </c>
      <c r="N28" s="5" t="s">
        <v>228</v>
      </c>
      <c r="O28" s="8" t="s">
        <v>253</v>
      </c>
      <c r="P28" s="8" t="s">
        <v>112</v>
      </c>
      <c r="Q28" s="5" t="s">
        <v>290</v>
      </c>
      <c r="R28" s="8" t="s">
        <v>291</v>
      </c>
      <c r="S28" s="9" t="s">
        <v>292</v>
      </c>
      <c r="T28" s="8">
        <v>0.56359999999999999</v>
      </c>
      <c r="U28" s="8" t="s">
        <v>293</v>
      </c>
      <c r="V28" s="8">
        <v>0.66</v>
      </c>
      <c r="W28" s="8"/>
      <c r="X28" s="10"/>
      <c r="Y28" s="8">
        <v>100000</v>
      </c>
      <c r="Z28" s="8" t="s">
        <v>117</v>
      </c>
      <c r="AA28" s="5" t="s">
        <v>33</v>
      </c>
      <c r="AB28" s="5"/>
      <c r="AC28" s="12"/>
      <c r="AD28" s="5" t="s">
        <v>120</v>
      </c>
      <c r="AE28" s="8" t="s">
        <v>9</v>
      </c>
      <c r="AF28" s="11"/>
      <c r="AG28" s="5"/>
      <c r="AH28" s="8"/>
      <c r="AI28" s="8" t="s">
        <v>1</v>
      </c>
      <c r="AJ28" s="9"/>
      <c r="AK28" s="11">
        <v>45939</v>
      </c>
      <c r="AL28" s="9"/>
      <c r="AM28" s="9" t="s">
        <v>17</v>
      </c>
      <c r="AN28" s="11">
        <v>45943</v>
      </c>
      <c r="AO28" s="38"/>
    </row>
    <row r="29" spans="1:43" x14ac:dyDescent="0.45">
      <c r="A29" s="35" t="s">
        <v>294</v>
      </c>
      <c r="B29" s="6">
        <v>45870</v>
      </c>
      <c r="C29" s="7">
        <v>2025</v>
      </c>
      <c r="D29" s="5" t="s">
        <v>105</v>
      </c>
      <c r="E29" s="5" t="s">
        <v>24</v>
      </c>
      <c r="F29" s="5" t="s">
        <v>123</v>
      </c>
      <c r="G29" s="5" t="s">
        <v>50</v>
      </c>
      <c r="H29" s="5" t="s">
        <v>124</v>
      </c>
      <c r="I29" s="5" t="s">
        <v>10</v>
      </c>
      <c r="J29" s="5" t="s">
        <v>225</v>
      </c>
      <c r="K29" s="5" t="s">
        <v>226</v>
      </c>
      <c r="L29" s="5" t="s">
        <v>127</v>
      </c>
      <c r="M29" s="5" t="s">
        <v>227</v>
      </c>
      <c r="N29" s="5" t="s">
        <v>228</v>
      </c>
      <c r="O29" s="8" t="s">
        <v>295</v>
      </c>
      <c r="P29" s="8" t="s">
        <v>112</v>
      </c>
      <c r="Q29" s="5" t="s">
        <v>296</v>
      </c>
      <c r="R29" s="8" t="s">
        <v>297</v>
      </c>
      <c r="S29" s="9" t="s">
        <v>298</v>
      </c>
      <c r="T29" s="8">
        <v>6.14</v>
      </c>
      <c r="U29" s="8" t="s">
        <v>293</v>
      </c>
      <c r="V29" s="8">
        <v>7.2</v>
      </c>
      <c r="W29" s="8"/>
      <c r="X29" s="10"/>
      <c r="Y29" s="8">
        <v>200000</v>
      </c>
      <c r="Z29" s="8" t="s">
        <v>117</v>
      </c>
      <c r="AA29" s="5" t="s">
        <v>33</v>
      </c>
      <c r="AB29" s="5"/>
      <c r="AC29" s="12"/>
      <c r="AD29" s="5" t="s">
        <v>120</v>
      </c>
      <c r="AE29" s="8" t="s">
        <v>9</v>
      </c>
      <c r="AF29" s="11"/>
      <c r="AG29" s="5"/>
      <c r="AH29" s="8"/>
      <c r="AI29" s="8" t="s">
        <v>1</v>
      </c>
      <c r="AJ29" s="9"/>
      <c r="AK29" s="11">
        <v>45939</v>
      </c>
      <c r="AL29" s="9"/>
      <c r="AM29" s="9" t="s">
        <v>17</v>
      </c>
      <c r="AN29" s="11">
        <v>45943</v>
      </c>
      <c r="AO29" s="38"/>
    </row>
    <row r="30" spans="1:43" x14ac:dyDescent="0.45">
      <c r="A30" s="35" t="s">
        <v>299</v>
      </c>
      <c r="B30" s="6">
        <v>45901</v>
      </c>
      <c r="C30" s="7">
        <v>2025</v>
      </c>
      <c r="D30" s="5" t="s">
        <v>105</v>
      </c>
      <c r="E30" s="5" t="s">
        <v>24</v>
      </c>
      <c r="F30" s="5" t="s">
        <v>123</v>
      </c>
      <c r="G30" s="5" t="s">
        <v>50</v>
      </c>
      <c r="H30" s="5" t="s">
        <v>124</v>
      </c>
      <c r="I30" s="5" t="s">
        <v>10</v>
      </c>
      <c r="J30" s="5" t="s">
        <v>225</v>
      </c>
      <c r="K30" s="5" t="s">
        <v>226</v>
      </c>
      <c r="L30" s="5" t="s">
        <v>127</v>
      </c>
      <c r="M30" s="5" t="s">
        <v>227</v>
      </c>
      <c r="N30" s="5" t="s">
        <v>228</v>
      </c>
      <c r="O30" s="8" t="s">
        <v>43</v>
      </c>
      <c r="P30" s="8" t="s">
        <v>112</v>
      </c>
      <c r="Q30" s="5" t="s">
        <v>300</v>
      </c>
      <c r="R30" s="8" t="s">
        <v>301</v>
      </c>
      <c r="S30" s="9" t="s">
        <v>302</v>
      </c>
      <c r="T30" s="8">
        <v>1.76</v>
      </c>
      <c r="U30" s="8" t="s">
        <v>116</v>
      </c>
      <c r="V30" s="8">
        <v>1.76</v>
      </c>
      <c r="W30" s="8"/>
      <c r="X30" s="10"/>
      <c r="Y30" s="8">
        <v>200000</v>
      </c>
      <c r="Z30" s="8" t="s">
        <v>117</v>
      </c>
      <c r="AA30" s="5" t="s">
        <v>33</v>
      </c>
      <c r="AB30" s="5"/>
      <c r="AC30" s="12"/>
      <c r="AD30" s="5" t="s">
        <v>120</v>
      </c>
      <c r="AE30" s="8" t="s">
        <v>9</v>
      </c>
      <c r="AF30" s="11"/>
      <c r="AG30" s="5"/>
      <c r="AH30" s="8"/>
      <c r="AI30" s="8" t="s">
        <v>1</v>
      </c>
      <c r="AJ30" s="9"/>
      <c r="AK30" s="11">
        <v>45939</v>
      </c>
      <c r="AL30" s="9"/>
      <c r="AM30" s="9" t="s">
        <v>17</v>
      </c>
      <c r="AN30" s="11">
        <v>45943</v>
      </c>
      <c r="AO30" s="38"/>
    </row>
    <row r="31" spans="1:43" x14ac:dyDescent="0.45">
      <c r="A31" s="35" t="s">
        <v>303</v>
      </c>
      <c r="B31" s="6">
        <v>45901</v>
      </c>
      <c r="C31" s="7">
        <v>2025</v>
      </c>
      <c r="D31" s="5" t="s">
        <v>105</v>
      </c>
      <c r="E31" s="5" t="s">
        <v>24</v>
      </c>
      <c r="F31" s="5" t="s">
        <v>123</v>
      </c>
      <c r="G31" s="5" t="s">
        <v>50</v>
      </c>
      <c r="H31" s="5" t="s">
        <v>124</v>
      </c>
      <c r="I31" s="5" t="s">
        <v>10</v>
      </c>
      <c r="J31" s="5" t="s">
        <v>259</v>
      </c>
      <c r="K31" s="5" t="s">
        <v>260</v>
      </c>
      <c r="L31" s="5" t="s">
        <v>261</v>
      </c>
      <c r="M31" s="5" t="s">
        <v>262</v>
      </c>
      <c r="N31" s="5" t="s">
        <v>263</v>
      </c>
      <c r="O31" s="8" t="s">
        <v>295</v>
      </c>
      <c r="P31" s="8" t="s">
        <v>112</v>
      </c>
      <c r="Q31" s="5" t="s">
        <v>304</v>
      </c>
      <c r="R31" s="8" t="s">
        <v>305</v>
      </c>
      <c r="S31" s="9" t="s">
        <v>306</v>
      </c>
      <c r="T31" s="8">
        <v>0.1</v>
      </c>
      <c r="U31" s="8" t="s">
        <v>116</v>
      </c>
      <c r="V31" s="8">
        <v>0.1</v>
      </c>
      <c r="W31" s="8"/>
      <c r="X31" s="10"/>
      <c r="Y31" s="8">
        <v>1000</v>
      </c>
      <c r="Z31" s="8" t="s">
        <v>117</v>
      </c>
      <c r="AA31" s="5" t="s">
        <v>33</v>
      </c>
      <c r="AB31" s="5"/>
      <c r="AC31" s="12"/>
      <c r="AD31" s="5" t="s">
        <v>120</v>
      </c>
      <c r="AE31" s="8" t="s">
        <v>9</v>
      </c>
      <c r="AF31" s="11"/>
      <c r="AG31" s="5"/>
      <c r="AH31" s="8"/>
      <c r="AI31" s="8" t="s">
        <v>1</v>
      </c>
      <c r="AJ31" s="9"/>
      <c r="AK31" s="11">
        <v>45939</v>
      </c>
      <c r="AL31" s="9"/>
      <c r="AM31" s="9" t="s">
        <v>17</v>
      </c>
      <c r="AN31" s="11">
        <v>45943</v>
      </c>
      <c r="AO31" s="38"/>
    </row>
    <row r="32" spans="1:43" x14ac:dyDescent="0.45">
      <c r="A32" s="35" t="s">
        <v>307</v>
      </c>
      <c r="B32" s="6">
        <v>45901</v>
      </c>
      <c r="C32" s="7">
        <v>2025</v>
      </c>
      <c r="D32" s="5" t="s">
        <v>105</v>
      </c>
      <c r="E32" s="5" t="s">
        <v>24</v>
      </c>
      <c r="F32" s="5" t="s">
        <v>123</v>
      </c>
      <c r="G32" s="5" t="s">
        <v>50</v>
      </c>
      <c r="H32" s="5" t="s">
        <v>124</v>
      </c>
      <c r="I32" s="5" t="s">
        <v>10</v>
      </c>
      <c r="J32" s="5" t="s">
        <v>259</v>
      </c>
      <c r="K32" s="5" t="s">
        <v>260</v>
      </c>
      <c r="L32" s="5" t="s">
        <v>261</v>
      </c>
      <c r="M32" s="5" t="s">
        <v>262</v>
      </c>
      <c r="N32" s="5" t="s">
        <v>263</v>
      </c>
      <c r="O32" s="8" t="s">
        <v>43</v>
      </c>
      <c r="P32" s="8" t="s">
        <v>112</v>
      </c>
      <c r="Q32" s="5" t="s">
        <v>308</v>
      </c>
      <c r="R32" s="8" t="s">
        <v>309</v>
      </c>
      <c r="S32" s="9" t="s">
        <v>310</v>
      </c>
      <c r="T32" s="8">
        <v>0.1</v>
      </c>
      <c r="U32" s="8" t="s">
        <v>116</v>
      </c>
      <c r="V32" s="8">
        <v>0.1</v>
      </c>
      <c r="W32" s="8"/>
      <c r="X32" s="10"/>
      <c r="Y32" s="8">
        <v>1000</v>
      </c>
      <c r="Z32" s="8" t="s">
        <v>117</v>
      </c>
      <c r="AA32" s="5" t="s">
        <v>33</v>
      </c>
      <c r="AB32" s="5"/>
      <c r="AC32" s="12"/>
      <c r="AD32" s="5" t="s">
        <v>120</v>
      </c>
      <c r="AE32" s="8" t="s">
        <v>9</v>
      </c>
      <c r="AF32" s="11"/>
      <c r="AG32" s="5"/>
      <c r="AH32" s="8"/>
      <c r="AI32" s="8" t="s">
        <v>1</v>
      </c>
      <c r="AJ32" s="9"/>
      <c r="AK32" s="11">
        <v>45939</v>
      </c>
      <c r="AL32" s="9"/>
      <c r="AM32" s="9" t="s">
        <v>17</v>
      </c>
      <c r="AN32" s="11">
        <v>45943</v>
      </c>
      <c r="AO32" s="38"/>
    </row>
    <row r="33" spans="1:52" x14ac:dyDescent="0.45">
      <c r="A33" s="35" t="s">
        <v>311</v>
      </c>
      <c r="B33" s="6">
        <v>45901</v>
      </c>
      <c r="C33" s="7">
        <v>2025</v>
      </c>
      <c r="D33" s="5" t="s">
        <v>105</v>
      </c>
      <c r="E33" s="5" t="s">
        <v>24</v>
      </c>
      <c r="F33" s="5" t="s">
        <v>123</v>
      </c>
      <c r="G33" s="5" t="s">
        <v>50</v>
      </c>
      <c r="H33" s="5" t="s">
        <v>124</v>
      </c>
      <c r="I33" s="5" t="s">
        <v>10</v>
      </c>
      <c r="J33" s="5" t="s">
        <v>259</v>
      </c>
      <c r="K33" s="5" t="s">
        <v>260</v>
      </c>
      <c r="L33" s="5" t="s">
        <v>261</v>
      </c>
      <c r="M33" s="5" t="s">
        <v>262</v>
      </c>
      <c r="N33" s="5" t="s">
        <v>263</v>
      </c>
      <c r="O33" s="8" t="s">
        <v>295</v>
      </c>
      <c r="P33" s="8" t="s">
        <v>112</v>
      </c>
      <c r="Q33" s="5" t="s">
        <v>312</v>
      </c>
      <c r="R33" s="8" t="s">
        <v>313</v>
      </c>
      <c r="S33" s="9" t="s">
        <v>314</v>
      </c>
      <c r="T33" s="8">
        <v>0.1</v>
      </c>
      <c r="U33" s="8" t="s">
        <v>116</v>
      </c>
      <c r="V33" s="8">
        <v>0.1</v>
      </c>
      <c r="W33" s="8"/>
      <c r="X33" s="10"/>
      <c r="Y33" s="8">
        <v>1000</v>
      </c>
      <c r="Z33" s="8" t="s">
        <v>117</v>
      </c>
      <c r="AA33" s="5" t="s">
        <v>33</v>
      </c>
      <c r="AB33" s="5"/>
      <c r="AC33" s="12"/>
      <c r="AD33" s="5" t="s">
        <v>120</v>
      </c>
      <c r="AE33" s="8" t="s">
        <v>9</v>
      </c>
      <c r="AF33" s="11"/>
      <c r="AG33" s="5"/>
      <c r="AH33" s="8"/>
      <c r="AI33" s="8" t="s">
        <v>1</v>
      </c>
      <c r="AJ33" s="9"/>
      <c r="AK33" s="11">
        <v>45939</v>
      </c>
      <c r="AL33" s="9"/>
      <c r="AM33" s="9" t="s">
        <v>17</v>
      </c>
      <c r="AN33" s="11">
        <v>45943</v>
      </c>
      <c r="AO33" s="38"/>
    </row>
    <row r="34" spans="1:52" x14ac:dyDescent="0.45">
      <c r="A34" s="35" t="s">
        <v>315</v>
      </c>
      <c r="B34" s="6">
        <v>45870</v>
      </c>
      <c r="C34" s="7">
        <v>2025</v>
      </c>
      <c r="D34" s="5" t="s">
        <v>105</v>
      </c>
      <c r="E34" s="5" t="s">
        <v>25</v>
      </c>
      <c r="F34" s="5" t="s">
        <v>25</v>
      </c>
      <c r="G34" s="5" t="s">
        <v>51</v>
      </c>
      <c r="H34" s="5" t="s">
        <v>124</v>
      </c>
      <c r="I34" s="5" t="s">
        <v>10</v>
      </c>
      <c r="J34" s="5" t="s">
        <v>316</v>
      </c>
      <c r="K34" s="5" t="s">
        <v>317</v>
      </c>
      <c r="L34" s="5" t="s">
        <v>318</v>
      </c>
      <c r="M34" s="5" t="s">
        <v>319</v>
      </c>
      <c r="N34" s="5" t="s">
        <v>320</v>
      </c>
      <c r="O34" s="8" t="s">
        <v>321</v>
      </c>
      <c r="P34" s="8" t="s">
        <v>112</v>
      </c>
      <c r="Q34" s="5" t="s">
        <v>1522</v>
      </c>
      <c r="R34" s="8" t="s">
        <v>322</v>
      </c>
      <c r="S34" s="9" t="s">
        <v>1466</v>
      </c>
      <c r="T34" s="8" t="s">
        <v>323</v>
      </c>
      <c r="U34" s="8" t="s">
        <v>323</v>
      </c>
      <c r="V34" s="8" t="s">
        <v>323</v>
      </c>
      <c r="W34" s="8" t="s">
        <v>323</v>
      </c>
      <c r="X34" s="10"/>
      <c r="Y34" s="8" t="s">
        <v>323</v>
      </c>
      <c r="Z34" s="8" t="s">
        <v>117</v>
      </c>
      <c r="AA34" s="5" t="s">
        <v>48</v>
      </c>
      <c r="AB34" s="5" t="s">
        <v>1467</v>
      </c>
      <c r="AC34" s="12"/>
      <c r="AD34" s="5" t="s">
        <v>120</v>
      </c>
      <c r="AE34" s="8" t="s">
        <v>9</v>
      </c>
      <c r="AF34" s="11"/>
      <c r="AG34" s="5"/>
      <c r="AH34" s="8"/>
      <c r="AI34" s="8" t="s">
        <v>1</v>
      </c>
      <c r="AJ34" s="9"/>
      <c r="AK34" s="11">
        <v>45943</v>
      </c>
      <c r="AL34" s="9"/>
      <c r="AM34" s="9" t="s">
        <v>17</v>
      </c>
      <c r="AN34" s="11">
        <v>45957</v>
      </c>
      <c r="AO34" s="38"/>
    </row>
    <row r="35" spans="1:52" x14ac:dyDescent="0.45">
      <c r="A35" s="35" t="s">
        <v>324</v>
      </c>
      <c r="B35" s="6">
        <v>45809</v>
      </c>
      <c r="C35" s="7">
        <v>2025</v>
      </c>
      <c r="D35" s="5" t="s">
        <v>105</v>
      </c>
      <c r="E35" s="5" t="s">
        <v>25</v>
      </c>
      <c r="F35" s="5" t="s">
        <v>25</v>
      </c>
      <c r="G35" s="5" t="s">
        <v>325</v>
      </c>
      <c r="H35" s="5" t="s">
        <v>124</v>
      </c>
      <c r="I35" s="5" t="s">
        <v>9</v>
      </c>
      <c r="J35" s="5" t="s">
        <v>326</v>
      </c>
      <c r="K35" s="5" t="s">
        <v>327</v>
      </c>
      <c r="L35" s="5" t="s">
        <v>318</v>
      </c>
      <c r="M35" s="5" t="s">
        <v>328</v>
      </c>
      <c r="N35" s="5" t="s">
        <v>329</v>
      </c>
      <c r="O35" s="8" t="s">
        <v>130</v>
      </c>
      <c r="P35" s="138" t="s">
        <v>330</v>
      </c>
      <c r="Q35" s="5" t="s">
        <v>331</v>
      </c>
      <c r="R35" s="8" t="s">
        <v>332</v>
      </c>
      <c r="S35" s="9" t="s">
        <v>1468</v>
      </c>
      <c r="T35" s="8">
        <v>1.49</v>
      </c>
      <c r="U35" s="8" t="s">
        <v>116</v>
      </c>
      <c r="V35" s="8">
        <v>1.49</v>
      </c>
      <c r="W35" s="8">
        <v>13.55</v>
      </c>
      <c r="X35" s="23">
        <v>0.89003690036900363</v>
      </c>
      <c r="Y35" s="8">
        <v>63577</v>
      </c>
      <c r="Z35" s="8" t="s">
        <v>117</v>
      </c>
      <c r="AA35" s="5" t="s">
        <v>42</v>
      </c>
      <c r="AB35" s="5" t="s">
        <v>333</v>
      </c>
      <c r="AC35" s="12"/>
      <c r="AD35" s="5" t="s">
        <v>7</v>
      </c>
      <c r="AE35" s="8" t="s">
        <v>10</v>
      </c>
      <c r="AF35" s="11">
        <v>45945</v>
      </c>
      <c r="AG35" s="5" t="s">
        <v>334</v>
      </c>
      <c r="AH35" s="5" t="s">
        <v>1523</v>
      </c>
      <c r="AI35" s="8" t="s">
        <v>2</v>
      </c>
      <c r="AJ35" s="9" t="s">
        <v>1524</v>
      </c>
      <c r="AK35" s="11"/>
      <c r="AL35" s="9"/>
      <c r="AM35" s="9"/>
      <c r="AN35" s="11"/>
      <c r="AO35" s="40" t="s">
        <v>1525</v>
      </c>
      <c r="AP35" s="32" t="s">
        <v>1393</v>
      </c>
      <c r="AQ35" s="32"/>
      <c r="AR35" s="32"/>
      <c r="AS35" s="32"/>
      <c r="AT35" s="32"/>
      <c r="AU35" s="32"/>
      <c r="AV35" s="32"/>
      <c r="AW35" s="32"/>
      <c r="AX35" s="32"/>
      <c r="AY35" s="32"/>
      <c r="AZ35" s="32"/>
    </row>
    <row r="36" spans="1:52" x14ac:dyDescent="0.45">
      <c r="A36" s="35" t="s">
        <v>335</v>
      </c>
      <c r="B36" s="6">
        <v>45809</v>
      </c>
      <c r="C36" s="7">
        <v>2025</v>
      </c>
      <c r="D36" s="5" t="s">
        <v>105</v>
      </c>
      <c r="E36" s="5" t="s">
        <v>25</v>
      </c>
      <c r="F36" s="5" t="s">
        <v>25</v>
      </c>
      <c r="G36" s="5" t="s">
        <v>45</v>
      </c>
      <c r="H36" s="5" t="s">
        <v>124</v>
      </c>
      <c r="I36" s="5" t="s">
        <v>9</v>
      </c>
      <c r="J36" s="5" t="s">
        <v>336</v>
      </c>
      <c r="K36" s="5" t="s">
        <v>337</v>
      </c>
      <c r="L36" s="5" t="s">
        <v>318</v>
      </c>
      <c r="M36" s="5" t="s">
        <v>338</v>
      </c>
      <c r="N36" s="5" t="s">
        <v>339</v>
      </c>
      <c r="O36" s="8" t="s">
        <v>130</v>
      </c>
      <c r="P36" s="138" t="s">
        <v>340</v>
      </c>
      <c r="Q36" s="5" t="s">
        <v>341</v>
      </c>
      <c r="R36" s="8" t="s">
        <v>342</v>
      </c>
      <c r="S36" s="9" t="s">
        <v>343</v>
      </c>
      <c r="T36" s="8">
        <v>2.4483670000000002</v>
      </c>
      <c r="U36" s="8" t="s">
        <v>116</v>
      </c>
      <c r="V36" s="8">
        <v>2.4483670000000002</v>
      </c>
      <c r="W36" s="8">
        <v>13.55</v>
      </c>
      <c r="X36" s="23">
        <v>0.81930870848708481</v>
      </c>
      <c r="Y36" s="8">
        <v>15893</v>
      </c>
      <c r="Z36" s="8" t="s">
        <v>117</v>
      </c>
      <c r="AA36" s="5" t="s">
        <v>42</v>
      </c>
      <c r="AB36" s="5" t="s">
        <v>333</v>
      </c>
      <c r="AC36" s="12"/>
      <c r="AD36" s="5" t="s">
        <v>7</v>
      </c>
      <c r="AE36" s="8" t="s">
        <v>10</v>
      </c>
      <c r="AF36" s="11">
        <v>45945</v>
      </c>
      <c r="AG36" s="5" t="s">
        <v>334</v>
      </c>
      <c r="AH36" s="5" t="s">
        <v>1523</v>
      </c>
      <c r="AI36" s="8" t="s">
        <v>2</v>
      </c>
      <c r="AJ36" s="9" t="s">
        <v>1524</v>
      </c>
      <c r="AK36" s="11"/>
      <c r="AL36" s="9"/>
      <c r="AM36" s="9"/>
      <c r="AN36" s="11"/>
      <c r="AO36" s="126" t="s">
        <v>1526</v>
      </c>
      <c r="AP36" s="32" t="s">
        <v>1393</v>
      </c>
      <c r="AQ36" s="32"/>
      <c r="AR36" s="32"/>
      <c r="AS36" s="32"/>
      <c r="AT36" s="32"/>
      <c r="AU36" s="32"/>
      <c r="AV36" s="32"/>
      <c r="AW36" s="32"/>
      <c r="AX36" s="32"/>
      <c r="AY36" s="32"/>
    </row>
    <row r="37" spans="1:52" x14ac:dyDescent="0.45">
      <c r="A37" s="35" t="s">
        <v>344</v>
      </c>
      <c r="B37" s="6">
        <v>45809</v>
      </c>
      <c r="C37" s="7">
        <v>2025</v>
      </c>
      <c r="D37" s="5" t="s">
        <v>105</v>
      </c>
      <c r="E37" s="5" t="s">
        <v>25</v>
      </c>
      <c r="F37" s="5" t="s">
        <v>25</v>
      </c>
      <c r="G37" s="5" t="s">
        <v>345</v>
      </c>
      <c r="H37" s="5" t="s">
        <v>124</v>
      </c>
      <c r="I37" s="5" t="s">
        <v>9</v>
      </c>
      <c r="J37" s="5" t="s">
        <v>346</v>
      </c>
      <c r="K37" s="5" t="s">
        <v>347</v>
      </c>
      <c r="L37" s="5" t="s">
        <v>318</v>
      </c>
      <c r="M37" s="5" t="s">
        <v>348</v>
      </c>
      <c r="N37" s="5" t="s">
        <v>349</v>
      </c>
      <c r="O37" s="8" t="s">
        <v>350</v>
      </c>
      <c r="P37" s="138" t="s">
        <v>351</v>
      </c>
      <c r="Q37" s="5" t="s">
        <v>352</v>
      </c>
      <c r="R37" s="8" t="s">
        <v>353</v>
      </c>
      <c r="S37" s="9" t="s">
        <v>1527</v>
      </c>
      <c r="T37" s="8">
        <v>3.2921</v>
      </c>
      <c r="U37" s="8" t="s">
        <v>116</v>
      </c>
      <c r="V37" s="8">
        <v>3.2921</v>
      </c>
      <c r="W37" s="8">
        <v>8.2200000000000006</v>
      </c>
      <c r="X37" s="23">
        <v>0.59950121654501221</v>
      </c>
      <c r="Y37" s="8">
        <v>23804</v>
      </c>
      <c r="Z37" s="8" t="s">
        <v>117</v>
      </c>
      <c r="AA37" s="5" t="s">
        <v>42</v>
      </c>
      <c r="AB37" s="5" t="s">
        <v>333</v>
      </c>
      <c r="AC37" s="12"/>
      <c r="AD37" s="5" t="s">
        <v>7</v>
      </c>
      <c r="AE37" s="8" t="s">
        <v>10</v>
      </c>
      <c r="AF37" s="11">
        <v>45947</v>
      </c>
      <c r="AG37" s="5" t="s">
        <v>334</v>
      </c>
      <c r="AH37" s="5" t="s">
        <v>12</v>
      </c>
      <c r="AI37" s="8" t="s">
        <v>2</v>
      </c>
      <c r="AJ37" s="9" t="s">
        <v>1524</v>
      </c>
      <c r="AK37" s="11"/>
      <c r="AL37" s="9"/>
      <c r="AM37" s="9"/>
      <c r="AN37" s="11"/>
      <c r="AO37" s="126" t="s">
        <v>1526</v>
      </c>
      <c r="AP37" s="32" t="s">
        <v>1393</v>
      </c>
      <c r="AQ37" s="32"/>
      <c r="AR37" s="32"/>
      <c r="AS37" s="32"/>
      <c r="AT37" s="32"/>
      <c r="AU37" s="32"/>
      <c r="AV37" s="32"/>
      <c r="AW37" s="32"/>
      <c r="AX37" s="32"/>
      <c r="AY37" s="32"/>
    </row>
    <row r="38" spans="1:52" x14ac:dyDescent="0.45">
      <c r="A38" s="36" t="s">
        <v>354</v>
      </c>
      <c r="B38" s="15">
        <v>45839</v>
      </c>
      <c r="C38" s="16">
        <v>2025</v>
      </c>
      <c r="D38" s="14" t="s">
        <v>105</v>
      </c>
      <c r="E38" s="14" t="s">
        <v>24</v>
      </c>
      <c r="F38" s="14" t="s">
        <v>123</v>
      </c>
      <c r="G38" s="14" t="s">
        <v>50</v>
      </c>
      <c r="H38" s="14" t="s">
        <v>124</v>
      </c>
      <c r="I38" s="14" t="s">
        <v>9</v>
      </c>
      <c r="J38" s="14" t="s">
        <v>355</v>
      </c>
      <c r="K38" s="14" t="s">
        <v>356</v>
      </c>
      <c r="L38" s="14" t="s">
        <v>357</v>
      </c>
      <c r="M38" s="14" t="s">
        <v>358</v>
      </c>
      <c r="N38" s="14" t="s">
        <v>359</v>
      </c>
      <c r="O38" s="17" t="s">
        <v>360</v>
      </c>
      <c r="P38" s="17" t="s">
        <v>361</v>
      </c>
      <c r="Q38" s="14" t="s">
        <v>362</v>
      </c>
      <c r="R38" s="17" t="s">
        <v>363</v>
      </c>
      <c r="S38" s="18" t="s">
        <v>364</v>
      </c>
      <c r="T38" s="17">
        <v>0.1</v>
      </c>
      <c r="U38" s="17" t="s">
        <v>116</v>
      </c>
      <c r="V38" s="17">
        <v>0.1</v>
      </c>
      <c r="W38" s="17">
        <v>11.39</v>
      </c>
      <c r="X38" s="19">
        <v>0.9912203687445128</v>
      </c>
      <c r="Y38" s="17">
        <v>10000</v>
      </c>
      <c r="Z38" s="17" t="s">
        <v>117</v>
      </c>
      <c r="AA38" s="14" t="s">
        <v>42</v>
      </c>
      <c r="AB38" s="14" t="s">
        <v>365</v>
      </c>
      <c r="AC38" s="20"/>
      <c r="AD38" s="14"/>
      <c r="AE38" s="17" t="s">
        <v>9</v>
      </c>
      <c r="AF38" s="21"/>
      <c r="AG38" s="14"/>
      <c r="AH38" s="17"/>
      <c r="AI38" s="17" t="s">
        <v>2</v>
      </c>
      <c r="AJ38" s="18" t="s">
        <v>1528</v>
      </c>
      <c r="AK38" s="21"/>
      <c r="AL38" s="18"/>
      <c r="AM38" s="18"/>
      <c r="AN38" s="21"/>
      <c r="AO38" s="39" t="s">
        <v>1521</v>
      </c>
      <c r="AP38" s="22" t="s">
        <v>366</v>
      </c>
      <c r="AQ38" s="128"/>
      <c r="AR38" s="127"/>
    </row>
    <row r="39" spans="1:52" x14ac:dyDescent="0.45">
      <c r="A39" s="36" t="s">
        <v>367</v>
      </c>
      <c r="B39" s="15">
        <v>45839</v>
      </c>
      <c r="C39" s="16">
        <v>2025</v>
      </c>
      <c r="D39" s="14" t="s">
        <v>105</v>
      </c>
      <c r="E39" s="14" t="s">
        <v>24</v>
      </c>
      <c r="F39" s="14" t="s">
        <v>123</v>
      </c>
      <c r="G39" s="14" t="s">
        <v>50</v>
      </c>
      <c r="H39" s="14" t="s">
        <v>124</v>
      </c>
      <c r="I39" s="14" t="s">
        <v>9</v>
      </c>
      <c r="J39" s="14" t="s">
        <v>368</v>
      </c>
      <c r="K39" s="14" t="s">
        <v>369</v>
      </c>
      <c r="L39" s="14" t="s">
        <v>370</v>
      </c>
      <c r="M39" s="14" t="s">
        <v>371</v>
      </c>
      <c r="N39" s="14" t="s">
        <v>372</v>
      </c>
      <c r="O39" s="17" t="s">
        <v>240</v>
      </c>
      <c r="P39" s="17" t="s">
        <v>373</v>
      </c>
      <c r="Q39" s="14" t="s">
        <v>374</v>
      </c>
      <c r="R39" s="17" t="s">
        <v>375</v>
      </c>
      <c r="S39" s="18" t="s">
        <v>244</v>
      </c>
      <c r="T39" s="17">
        <v>1.66</v>
      </c>
      <c r="U39" s="17" t="s">
        <v>116</v>
      </c>
      <c r="V39" s="17">
        <v>1.66</v>
      </c>
      <c r="W39" s="17">
        <v>17.27</v>
      </c>
      <c r="X39" s="19">
        <v>0.90387955993051539</v>
      </c>
      <c r="Y39" s="17">
        <v>5000</v>
      </c>
      <c r="Z39" s="17" t="s">
        <v>117</v>
      </c>
      <c r="AA39" s="14" t="s">
        <v>42</v>
      </c>
      <c r="AB39" s="14" t="s">
        <v>376</v>
      </c>
      <c r="AC39" s="20"/>
      <c r="AD39" s="14"/>
      <c r="AE39" s="17" t="s">
        <v>9</v>
      </c>
      <c r="AF39" s="21"/>
      <c r="AG39" s="14"/>
      <c r="AH39" s="17"/>
      <c r="AI39" s="17" t="s">
        <v>2</v>
      </c>
      <c r="AJ39" s="18" t="s">
        <v>1528</v>
      </c>
      <c r="AK39" s="21"/>
      <c r="AL39" s="18"/>
      <c r="AM39" s="18"/>
      <c r="AN39" s="21"/>
      <c r="AO39" s="39" t="s">
        <v>1521</v>
      </c>
      <c r="AP39" s="22" t="s">
        <v>366</v>
      </c>
      <c r="AQ39" s="22"/>
    </row>
    <row r="40" spans="1:52" x14ac:dyDescent="0.45">
      <c r="A40" s="36" t="s">
        <v>377</v>
      </c>
      <c r="B40" s="15">
        <v>45839</v>
      </c>
      <c r="C40" s="16">
        <v>2025</v>
      </c>
      <c r="D40" s="14" t="s">
        <v>105</v>
      </c>
      <c r="E40" s="14" t="s">
        <v>24</v>
      </c>
      <c r="F40" s="14" t="s">
        <v>123</v>
      </c>
      <c r="G40" s="14" t="s">
        <v>50</v>
      </c>
      <c r="H40" s="14" t="s">
        <v>124</v>
      </c>
      <c r="I40" s="14" t="s">
        <v>9</v>
      </c>
      <c r="J40" s="14" t="s">
        <v>378</v>
      </c>
      <c r="K40" s="14" t="s">
        <v>379</v>
      </c>
      <c r="L40" s="14" t="s">
        <v>149</v>
      </c>
      <c r="M40" s="14" t="s">
        <v>380</v>
      </c>
      <c r="N40" s="14" t="s">
        <v>381</v>
      </c>
      <c r="O40" s="17" t="s">
        <v>240</v>
      </c>
      <c r="P40" s="17" t="s">
        <v>373</v>
      </c>
      <c r="Q40" s="14" t="s">
        <v>382</v>
      </c>
      <c r="R40" s="17" t="s">
        <v>383</v>
      </c>
      <c r="S40" s="18" t="s">
        <v>244</v>
      </c>
      <c r="T40" s="17">
        <v>0.28000000000000003</v>
      </c>
      <c r="U40" s="17" t="s">
        <v>116</v>
      </c>
      <c r="V40" s="17">
        <v>0.28000000000000003</v>
      </c>
      <c r="W40" s="17">
        <v>17.27</v>
      </c>
      <c r="X40" s="19">
        <v>0.98378691372321936</v>
      </c>
      <c r="Y40" s="17">
        <v>10</v>
      </c>
      <c r="Z40" s="17" t="s">
        <v>117</v>
      </c>
      <c r="AA40" s="14" t="s">
        <v>48</v>
      </c>
      <c r="AB40" s="14" t="s">
        <v>384</v>
      </c>
      <c r="AC40" s="20"/>
      <c r="AD40" s="14"/>
      <c r="AE40" s="17" t="s">
        <v>9</v>
      </c>
      <c r="AF40" s="21"/>
      <c r="AG40" s="14"/>
      <c r="AH40" s="17"/>
      <c r="AI40" s="17" t="s">
        <v>2</v>
      </c>
      <c r="AJ40" s="18" t="s">
        <v>1528</v>
      </c>
      <c r="AK40" s="21"/>
      <c r="AL40" s="18"/>
      <c r="AM40" s="18"/>
      <c r="AN40" s="21"/>
      <c r="AO40" s="129" t="s">
        <v>1521</v>
      </c>
      <c r="AP40" s="22" t="s">
        <v>366</v>
      </c>
      <c r="AQ40" s="22"/>
    </row>
    <row r="41" spans="1:52" x14ac:dyDescent="0.45">
      <c r="A41" s="36" t="s">
        <v>385</v>
      </c>
      <c r="B41" s="15">
        <v>45839</v>
      </c>
      <c r="C41" s="16">
        <v>2025</v>
      </c>
      <c r="D41" s="14" t="s">
        <v>105</v>
      </c>
      <c r="E41" s="14" t="s">
        <v>24</v>
      </c>
      <c r="F41" s="14" t="s">
        <v>123</v>
      </c>
      <c r="G41" s="14" t="s">
        <v>50</v>
      </c>
      <c r="H41" s="14" t="s">
        <v>124</v>
      </c>
      <c r="I41" s="14" t="s">
        <v>9</v>
      </c>
      <c r="J41" s="14" t="s">
        <v>386</v>
      </c>
      <c r="K41" s="14" t="s">
        <v>387</v>
      </c>
      <c r="L41" s="14" t="s">
        <v>388</v>
      </c>
      <c r="M41" s="14" t="s">
        <v>389</v>
      </c>
      <c r="N41" s="14">
        <v>13711333529</v>
      </c>
      <c r="O41" s="17" t="s">
        <v>240</v>
      </c>
      <c r="P41" s="17" t="s">
        <v>390</v>
      </c>
      <c r="Q41" s="14" t="s">
        <v>391</v>
      </c>
      <c r="R41" s="17" t="s">
        <v>392</v>
      </c>
      <c r="S41" s="18" t="s">
        <v>393</v>
      </c>
      <c r="T41" s="17">
        <v>2.77</v>
      </c>
      <c r="U41" s="17" t="s">
        <v>116</v>
      </c>
      <c r="V41" s="17">
        <v>2.77</v>
      </c>
      <c r="W41" s="17">
        <v>17.27</v>
      </c>
      <c r="X41" s="19">
        <v>0.83960625361899255</v>
      </c>
      <c r="Y41" s="17">
        <v>200</v>
      </c>
      <c r="Z41" s="17" t="s">
        <v>117</v>
      </c>
      <c r="AA41" s="14" t="s">
        <v>48</v>
      </c>
      <c r="AB41" s="14" t="s">
        <v>394</v>
      </c>
      <c r="AC41" s="20"/>
      <c r="AD41" s="14"/>
      <c r="AE41" s="17" t="s">
        <v>9</v>
      </c>
      <c r="AF41" s="21"/>
      <c r="AG41" s="14"/>
      <c r="AH41" s="17"/>
      <c r="AI41" s="17" t="s">
        <v>2</v>
      </c>
      <c r="AJ41" s="18" t="s">
        <v>1528</v>
      </c>
      <c r="AK41" s="21"/>
      <c r="AL41" s="18"/>
      <c r="AM41" s="18"/>
      <c r="AN41" s="21"/>
      <c r="AO41" s="129" t="s">
        <v>1521</v>
      </c>
      <c r="AP41" s="22" t="s">
        <v>366</v>
      </c>
      <c r="AQ41" s="22"/>
    </row>
    <row r="42" spans="1:52" x14ac:dyDescent="0.45">
      <c r="A42" s="35" t="s">
        <v>395</v>
      </c>
      <c r="B42" s="6">
        <v>45901</v>
      </c>
      <c r="C42" s="7">
        <v>2025</v>
      </c>
      <c r="D42" s="5" t="s">
        <v>105</v>
      </c>
      <c r="E42" s="5" t="s">
        <v>24</v>
      </c>
      <c r="F42" s="5" t="s">
        <v>35</v>
      </c>
      <c r="G42" s="5" t="s">
        <v>35</v>
      </c>
      <c r="H42" s="5" t="s">
        <v>124</v>
      </c>
      <c r="I42" s="5" t="s">
        <v>10</v>
      </c>
      <c r="J42" s="5" t="s">
        <v>396</v>
      </c>
      <c r="K42" s="5" t="s">
        <v>397</v>
      </c>
      <c r="L42" s="5" t="s">
        <v>112</v>
      </c>
      <c r="M42" s="5" t="s">
        <v>398</v>
      </c>
      <c r="N42" s="5" t="s">
        <v>399</v>
      </c>
      <c r="O42" s="8" t="s">
        <v>400</v>
      </c>
      <c r="P42" s="8" t="s">
        <v>112</v>
      </c>
      <c r="Q42" s="5" t="s">
        <v>401</v>
      </c>
      <c r="R42" s="8" t="s">
        <v>402</v>
      </c>
      <c r="S42" s="9" t="s">
        <v>403</v>
      </c>
      <c r="T42" s="8">
        <v>7</v>
      </c>
      <c r="U42" s="8" t="s">
        <v>116</v>
      </c>
      <c r="V42" s="8">
        <v>7</v>
      </c>
      <c r="W42" s="8"/>
      <c r="X42" s="10"/>
      <c r="Y42" s="8">
        <v>1000000</v>
      </c>
      <c r="Z42" s="8" t="s">
        <v>117</v>
      </c>
      <c r="AA42" s="5" t="s">
        <v>42</v>
      </c>
      <c r="AB42" s="5" t="s">
        <v>404</v>
      </c>
      <c r="AC42" s="12"/>
      <c r="AD42" s="5"/>
      <c r="AE42" s="8" t="s">
        <v>9</v>
      </c>
      <c r="AF42" s="11"/>
      <c r="AG42" s="5"/>
      <c r="AH42" s="8"/>
      <c r="AI42" s="8" t="s">
        <v>1</v>
      </c>
      <c r="AJ42" s="9"/>
      <c r="AK42" s="11">
        <v>45960</v>
      </c>
      <c r="AL42" s="9"/>
      <c r="AM42" s="9" t="s">
        <v>17</v>
      </c>
      <c r="AN42" s="11">
        <v>45966</v>
      </c>
      <c r="AO42" s="38"/>
    </row>
    <row r="43" spans="1:52" x14ac:dyDescent="0.45">
      <c r="A43" s="35" t="s">
        <v>405</v>
      </c>
      <c r="B43" s="6">
        <v>45778</v>
      </c>
      <c r="C43" s="7">
        <v>2025</v>
      </c>
      <c r="D43" s="5" t="s">
        <v>105</v>
      </c>
      <c r="E43" s="5" t="s">
        <v>24</v>
      </c>
      <c r="F43" s="5" t="s">
        <v>123</v>
      </c>
      <c r="G43" s="5" t="s">
        <v>44</v>
      </c>
      <c r="H43" s="5" t="s">
        <v>124</v>
      </c>
      <c r="I43" s="5" t="s">
        <v>10</v>
      </c>
      <c r="J43" s="5" t="s">
        <v>406</v>
      </c>
      <c r="K43" s="5" t="s">
        <v>407</v>
      </c>
      <c r="L43" s="5" t="s">
        <v>112</v>
      </c>
      <c r="M43" s="5" t="s">
        <v>112</v>
      </c>
      <c r="N43" s="5" t="s">
        <v>112</v>
      </c>
      <c r="O43" s="8" t="s">
        <v>408</v>
      </c>
      <c r="P43" s="8" t="s">
        <v>409</v>
      </c>
      <c r="Q43" s="5" t="s">
        <v>410</v>
      </c>
      <c r="R43" s="8" t="s">
        <v>411</v>
      </c>
      <c r="S43" s="9" t="s">
        <v>1529</v>
      </c>
      <c r="T43" s="8">
        <v>23.47</v>
      </c>
      <c r="U43" s="8" t="s">
        <v>412</v>
      </c>
      <c r="V43" s="8">
        <v>3.2928410000000001</v>
      </c>
      <c r="W43" s="8"/>
      <c r="X43" s="10"/>
      <c r="Y43" s="8">
        <v>6000</v>
      </c>
      <c r="Z43" s="8" t="s">
        <v>117</v>
      </c>
      <c r="AA43" s="5" t="s">
        <v>42</v>
      </c>
      <c r="AB43" s="5" t="s">
        <v>222</v>
      </c>
      <c r="AC43" s="12"/>
      <c r="AD43" s="5"/>
      <c r="AE43" s="8" t="s">
        <v>9</v>
      </c>
      <c r="AF43" s="11"/>
      <c r="AG43" s="5"/>
      <c r="AH43" s="8"/>
      <c r="AI43" s="8" t="s">
        <v>1</v>
      </c>
      <c r="AJ43" s="9"/>
      <c r="AK43" s="11">
        <v>45960</v>
      </c>
      <c r="AL43" s="9"/>
      <c r="AM43" s="9" t="s">
        <v>54</v>
      </c>
      <c r="AN43" s="11"/>
      <c r="AO43" s="40" t="s">
        <v>1530</v>
      </c>
      <c r="AP43" s="32" t="s">
        <v>1531</v>
      </c>
      <c r="AQ43" s="32"/>
      <c r="AR43" s="32"/>
    </row>
    <row r="44" spans="1:52" x14ac:dyDescent="0.45">
      <c r="A44" s="35" t="s">
        <v>413</v>
      </c>
      <c r="B44" s="6">
        <v>45778</v>
      </c>
      <c r="C44" s="7">
        <v>2025</v>
      </c>
      <c r="D44" s="5" t="s">
        <v>105</v>
      </c>
      <c r="E44" s="5" t="s">
        <v>24</v>
      </c>
      <c r="F44" s="5" t="s">
        <v>123</v>
      </c>
      <c r="G44" s="5" t="s">
        <v>44</v>
      </c>
      <c r="H44" s="5" t="s">
        <v>124</v>
      </c>
      <c r="I44" s="5" t="s">
        <v>10</v>
      </c>
      <c r="J44" s="5" t="s">
        <v>414</v>
      </c>
      <c r="K44" s="5" t="s">
        <v>415</v>
      </c>
      <c r="L44" s="5" t="s">
        <v>112</v>
      </c>
      <c r="M44" s="5" t="s">
        <v>112</v>
      </c>
      <c r="N44" s="5" t="s">
        <v>112</v>
      </c>
      <c r="O44" s="8" t="s">
        <v>416</v>
      </c>
      <c r="P44" s="8" t="s">
        <v>417</v>
      </c>
      <c r="Q44" s="5" t="s">
        <v>418</v>
      </c>
      <c r="R44" s="8" t="s">
        <v>419</v>
      </c>
      <c r="S44" s="9" t="s">
        <v>1469</v>
      </c>
      <c r="T44" s="8">
        <v>4.88</v>
      </c>
      <c r="U44" s="8" t="s">
        <v>412</v>
      </c>
      <c r="V44" s="8">
        <v>0.68466400000000005</v>
      </c>
      <c r="W44" s="8"/>
      <c r="X44" s="10"/>
      <c r="Y44" s="8">
        <v>42200</v>
      </c>
      <c r="Z44" s="8" t="s">
        <v>117</v>
      </c>
      <c r="AA44" s="5" t="s">
        <v>42</v>
      </c>
      <c r="AB44" s="5" t="s">
        <v>222</v>
      </c>
      <c r="AC44" s="12"/>
      <c r="AD44" s="5"/>
      <c r="AE44" s="8" t="s">
        <v>9</v>
      </c>
      <c r="AF44" s="11"/>
      <c r="AG44" s="5"/>
      <c r="AH44" s="8"/>
      <c r="AI44" s="8" t="s">
        <v>1</v>
      </c>
      <c r="AJ44" s="9"/>
      <c r="AK44" s="11">
        <v>45960</v>
      </c>
      <c r="AL44" s="9"/>
      <c r="AM44" s="9" t="s">
        <v>54</v>
      </c>
      <c r="AN44" s="11"/>
      <c r="AO44" s="126" t="s">
        <v>1530</v>
      </c>
      <c r="AP44" s="32" t="s">
        <v>1531</v>
      </c>
      <c r="AQ44" s="32"/>
      <c r="AR44" s="32"/>
    </row>
    <row r="45" spans="1:52" x14ac:dyDescent="0.45">
      <c r="A45" s="35" t="s">
        <v>420</v>
      </c>
      <c r="B45" s="6">
        <v>45778</v>
      </c>
      <c r="C45" s="7">
        <v>2025</v>
      </c>
      <c r="D45" s="5" t="s">
        <v>105</v>
      </c>
      <c r="E45" s="5" t="s">
        <v>24</v>
      </c>
      <c r="F45" s="5" t="s">
        <v>123</v>
      </c>
      <c r="G45" s="5" t="s">
        <v>44</v>
      </c>
      <c r="H45" s="5" t="s">
        <v>124</v>
      </c>
      <c r="I45" s="5" t="s">
        <v>10</v>
      </c>
      <c r="J45" s="5" t="s">
        <v>414</v>
      </c>
      <c r="K45" s="5" t="s">
        <v>415</v>
      </c>
      <c r="L45" s="5" t="s">
        <v>112</v>
      </c>
      <c r="M45" s="5" t="s">
        <v>112</v>
      </c>
      <c r="N45" s="5" t="s">
        <v>112</v>
      </c>
      <c r="O45" s="8" t="s">
        <v>421</v>
      </c>
      <c r="P45" s="8" t="s">
        <v>422</v>
      </c>
      <c r="Q45" s="5" t="s">
        <v>423</v>
      </c>
      <c r="R45" s="8" t="s">
        <v>424</v>
      </c>
      <c r="S45" s="9" t="s">
        <v>1470</v>
      </c>
      <c r="T45" s="8">
        <v>5.98</v>
      </c>
      <c r="U45" s="8" t="s">
        <v>412</v>
      </c>
      <c r="V45" s="8">
        <v>0.83899400000000013</v>
      </c>
      <c r="W45" s="8"/>
      <c r="X45" s="10"/>
      <c r="Y45" s="8">
        <v>40200</v>
      </c>
      <c r="Z45" s="8" t="s">
        <v>117</v>
      </c>
      <c r="AA45" s="5" t="s">
        <v>42</v>
      </c>
      <c r="AB45" s="5" t="s">
        <v>222</v>
      </c>
      <c r="AC45" s="12"/>
      <c r="AD45" s="5"/>
      <c r="AE45" s="8" t="s">
        <v>9</v>
      </c>
      <c r="AF45" s="11"/>
      <c r="AG45" s="5"/>
      <c r="AH45" s="8"/>
      <c r="AI45" s="8" t="s">
        <v>1</v>
      </c>
      <c r="AJ45" s="9"/>
      <c r="AK45" s="11">
        <v>45960</v>
      </c>
      <c r="AL45" s="9"/>
      <c r="AM45" s="9" t="s">
        <v>54</v>
      </c>
      <c r="AN45" s="11"/>
      <c r="AO45" s="126" t="s">
        <v>1530</v>
      </c>
      <c r="AP45" s="32" t="s">
        <v>1531</v>
      </c>
      <c r="AQ45" s="32"/>
      <c r="AR45" s="32"/>
    </row>
    <row r="46" spans="1:52" x14ac:dyDescent="0.45">
      <c r="A46" s="35" t="s">
        <v>425</v>
      </c>
      <c r="B46" s="6">
        <v>45778</v>
      </c>
      <c r="C46" s="7">
        <v>2025</v>
      </c>
      <c r="D46" s="5" t="s">
        <v>105</v>
      </c>
      <c r="E46" s="5" t="s">
        <v>24</v>
      </c>
      <c r="F46" s="5" t="s">
        <v>123</v>
      </c>
      <c r="G46" s="5" t="s">
        <v>44</v>
      </c>
      <c r="H46" s="5" t="s">
        <v>124</v>
      </c>
      <c r="I46" s="5" t="s">
        <v>10</v>
      </c>
      <c r="J46" s="5" t="s">
        <v>414</v>
      </c>
      <c r="K46" s="5" t="s">
        <v>415</v>
      </c>
      <c r="L46" s="5" t="s">
        <v>112</v>
      </c>
      <c r="M46" s="5" t="s">
        <v>112</v>
      </c>
      <c r="N46" s="5" t="s">
        <v>112</v>
      </c>
      <c r="O46" s="8" t="s">
        <v>426</v>
      </c>
      <c r="P46" s="138" t="s">
        <v>427</v>
      </c>
      <c r="Q46" s="5" t="s">
        <v>428</v>
      </c>
      <c r="R46" s="8" t="s">
        <v>429</v>
      </c>
      <c r="S46" s="9" t="s">
        <v>1471</v>
      </c>
      <c r="T46" s="8">
        <v>14.28</v>
      </c>
      <c r="U46" s="8" t="s">
        <v>412</v>
      </c>
      <c r="V46" s="8">
        <v>2.0034839999999998</v>
      </c>
      <c r="W46" s="8"/>
      <c r="X46" s="10"/>
      <c r="Y46" s="8">
        <v>43200</v>
      </c>
      <c r="Z46" s="8" t="s">
        <v>117</v>
      </c>
      <c r="AA46" s="5" t="s">
        <v>42</v>
      </c>
      <c r="AB46" s="5" t="s">
        <v>222</v>
      </c>
      <c r="AC46" s="12"/>
      <c r="AD46" s="5"/>
      <c r="AE46" s="8" t="s">
        <v>9</v>
      </c>
      <c r="AF46" s="11"/>
      <c r="AG46" s="5"/>
      <c r="AH46" s="8"/>
      <c r="AI46" s="8" t="s">
        <v>1</v>
      </c>
      <c r="AJ46" s="9"/>
      <c r="AK46" s="11">
        <v>45960</v>
      </c>
      <c r="AL46" s="9"/>
      <c r="AM46" s="9" t="s">
        <v>54</v>
      </c>
      <c r="AN46" s="11"/>
      <c r="AO46" s="126" t="s">
        <v>1530</v>
      </c>
      <c r="AP46" s="32" t="s">
        <v>1531</v>
      </c>
      <c r="AQ46" s="32"/>
      <c r="AR46" s="32"/>
    </row>
    <row r="47" spans="1:52" x14ac:dyDescent="0.45">
      <c r="A47" s="36" t="s">
        <v>430</v>
      </c>
      <c r="B47" s="15">
        <v>45778</v>
      </c>
      <c r="C47" s="16">
        <v>2025</v>
      </c>
      <c r="D47" s="14" t="s">
        <v>105</v>
      </c>
      <c r="E47" s="14" t="s">
        <v>24</v>
      </c>
      <c r="F47" s="14" t="s">
        <v>123</v>
      </c>
      <c r="G47" s="14" t="s">
        <v>44</v>
      </c>
      <c r="H47" s="14" t="s">
        <v>124</v>
      </c>
      <c r="I47" s="14" t="s">
        <v>10</v>
      </c>
      <c r="J47" s="14" t="s">
        <v>414</v>
      </c>
      <c r="K47" s="14" t="s">
        <v>415</v>
      </c>
      <c r="L47" s="14" t="s">
        <v>112</v>
      </c>
      <c r="M47" s="14" t="s">
        <v>112</v>
      </c>
      <c r="N47" s="14" t="s">
        <v>112</v>
      </c>
      <c r="O47" s="17" t="s">
        <v>142</v>
      </c>
      <c r="P47" s="136" t="s">
        <v>431</v>
      </c>
      <c r="Q47" s="14" t="s">
        <v>432</v>
      </c>
      <c r="R47" s="17" t="s">
        <v>433</v>
      </c>
      <c r="S47" s="18" t="s">
        <v>1472</v>
      </c>
      <c r="T47" s="17">
        <v>2.48</v>
      </c>
      <c r="U47" s="17" t="s">
        <v>412</v>
      </c>
      <c r="V47" s="17">
        <v>0.34794400000000003</v>
      </c>
      <c r="W47" s="17"/>
      <c r="X47" s="19"/>
      <c r="Y47" s="17">
        <v>40200</v>
      </c>
      <c r="Z47" s="17" t="s">
        <v>117</v>
      </c>
      <c r="AA47" s="14" t="s">
        <v>42</v>
      </c>
      <c r="AB47" s="14" t="s">
        <v>222</v>
      </c>
      <c r="AC47" s="20"/>
      <c r="AD47" s="14"/>
      <c r="AE47" s="17" t="s">
        <v>9</v>
      </c>
      <c r="AF47" s="21"/>
      <c r="AG47" s="14"/>
      <c r="AH47" s="17"/>
      <c r="AI47" s="17" t="s">
        <v>2</v>
      </c>
      <c r="AJ47" s="18" t="s">
        <v>1528</v>
      </c>
      <c r="AK47" s="21"/>
      <c r="AL47" s="18"/>
      <c r="AM47" s="18"/>
      <c r="AN47" s="21"/>
      <c r="AO47" s="39" t="s">
        <v>1521</v>
      </c>
      <c r="AP47" s="22" t="s">
        <v>434</v>
      </c>
      <c r="AQ47" s="22"/>
    </row>
    <row r="48" spans="1:52" x14ac:dyDescent="0.45">
      <c r="A48" s="35" t="s">
        <v>435</v>
      </c>
      <c r="B48" s="6">
        <v>45778</v>
      </c>
      <c r="C48" s="7">
        <v>2025</v>
      </c>
      <c r="D48" s="5" t="s">
        <v>105</v>
      </c>
      <c r="E48" s="5" t="s">
        <v>24</v>
      </c>
      <c r="F48" s="5" t="s">
        <v>123</v>
      </c>
      <c r="G48" s="5" t="s">
        <v>44</v>
      </c>
      <c r="H48" s="5" t="s">
        <v>124</v>
      </c>
      <c r="I48" s="5" t="s">
        <v>10</v>
      </c>
      <c r="J48" s="5" t="s">
        <v>414</v>
      </c>
      <c r="K48" s="5" t="s">
        <v>415</v>
      </c>
      <c r="L48" s="5" t="s">
        <v>112</v>
      </c>
      <c r="M48" s="5" t="s">
        <v>112</v>
      </c>
      <c r="N48" s="5" t="s">
        <v>112</v>
      </c>
      <c r="O48" s="8" t="s">
        <v>400</v>
      </c>
      <c r="P48" s="138" t="s">
        <v>436</v>
      </c>
      <c r="Q48" s="5" t="s">
        <v>437</v>
      </c>
      <c r="R48" s="8" t="s">
        <v>438</v>
      </c>
      <c r="S48" s="9" t="s">
        <v>1473</v>
      </c>
      <c r="T48" s="8">
        <v>20.85</v>
      </c>
      <c r="U48" s="8" t="s">
        <v>412</v>
      </c>
      <c r="V48" s="8">
        <v>2.9252550000000004</v>
      </c>
      <c r="W48" s="8"/>
      <c r="X48" s="10"/>
      <c r="Y48" s="8">
        <v>42000</v>
      </c>
      <c r="Z48" s="8" t="s">
        <v>117</v>
      </c>
      <c r="AA48" s="5" t="s">
        <v>42</v>
      </c>
      <c r="AB48" s="5" t="s">
        <v>222</v>
      </c>
      <c r="AC48" s="12"/>
      <c r="AD48" s="5"/>
      <c r="AE48" s="8" t="s">
        <v>9</v>
      </c>
      <c r="AF48" s="11"/>
      <c r="AG48" s="5"/>
      <c r="AH48" s="8"/>
      <c r="AI48" s="8" t="s">
        <v>1</v>
      </c>
      <c r="AJ48" s="9"/>
      <c r="AK48" s="11">
        <v>45960</v>
      </c>
      <c r="AL48" s="9"/>
      <c r="AM48" s="9" t="s">
        <v>54</v>
      </c>
      <c r="AN48" s="11"/>
      <c r="AO48" s="126" t="s">
        <v>1530</v>
      </c>
      <c r="AP48" s="32" t="s">
        <v>1531</v>
      </c>
      <c r="AQ48" s="32"/>
      <c r="AR48" s="32"/>
    </row>
    <row r="49" spans="1:44" x14ac:dyDescent="0.45">
      <c r="A49" s="35" t="s">
        <v>439</v>
      </c>
      <c r="B49" s="6">
        <v>45778</v>
      </c>
      <c r="C49" s="7">
        <v>2025</v>
      </c>
      <c r="D49" s="5" t="s">
        <v>105</v>
      </c>
      <c r="E49" s="5" t="s">
        <v>24</v>
      </c>
      <c r="F49" s="5" t="s">
        <v>123</v>
      </c>
      <c r="G49" s="5" t="s">
        <v>44</v>
      </c>
      <c r="H49" s="5" t="s">
        <v>124</v>
      </c>
      <c r="I49" s="5" t="s">
        <v>10</v>
      </c>
      <c r="J49" s="5" t="s">
        <v>414</v>
      </c>
      <c r="K49" s="5" t="s">
        <v>415</v>
      </c>
      <c r="L49" s="5" t="s">
        <v>112</v>
      </c>
      <c r="M49" s="5" t="s">
        <v>112</v>
      </c>
      <c r="N49" s="5" t="s">
        <v>112</v>
      </c>
      <c r="O49" s="8" t="s">
        <v>440</v>
      </c>
      <c r="P49" s="138" t="s">
        <v>441</v>
      </c>
      <c r="Q49" s="5" t="s">
        <v>442</v>
      </c>
      <c r="R49" s="8" t="s">
        <v>443</v>
      </c>
      <c r="S49" s="9" t="s">
        <v>1474</v>
      </c>
      <c r="T49" s="8">
        <v>8.18</v>
      </c>
      <c r="U49" s="8" t="s">
        <v>412</v>
      </c>
      <c r="V49" s="8">
        <v>1.147654</v>
      </c>
      <c r="W49" s="8"/>
      <c r="X49" s="10"/>
      <c r="Y49" s="8">
        <v>432000</v>
      </c>
      <c r="Z49" s="8" t="s">
        <v>117</v>
      </c>
      <c r="AA49" s="5" t="s">
        <v>42</v>
      </c>
      <c r="AB49" s="5" t="s">
        <v>222</v>
      </c>
      <c r="AC49" s="12"/>
      <c r="AD49" s="5"/>
      <c r="AE49" s="8" t="s">
        <v>9</v>
      </c>
      <c r="AF49" s="11"/>
      <c r="AG49" s="5"/>
      <c r="AH49" s="8"/>
      <c r="AI49" s="8" t="s">
        <v>1</v>
      </c>
      <c r="AJ49" s="9"/>
      <c r="AK49" s="11">
        <v>45960</v>
      </c>
      <c r="AL49" s="9"/>
      <c r="AM49" s="9" t="s">
        <v>54</v>
      </c>
      <c r="AN49" s="11"/>
      <c r="AO49" s="126" t="s">
        <v>1530</v>
      </c>
      <c r="AP49" s="32" t="s">
        <v>1531</v>
      </c>
      <c r="AQ49" s="32"/>
      <c r="AR49" s="32"/>
    </row>
    <row r="50" spans="1:44" x14ac:dyDescent="0.45">
      <c r="A50" s="35" t="s">
        <v>444</v>
      </c>
      <c r="B50" s="6">
        <v>45778</v>
      </c>
      <c r="C50" s="7">
        <v>2025</v>
      </c>
      <c r="D50" s="5" t="s">
        <v>105</v>
      </c>
      <c r="E50" s="5" t="s">
        <v>24</v>
      </c>
      <c r="F50" s="5" t="s">
        <v>123</v>
      </c>
      <c r="G50" s="5" t="s">
        <v>44</v>
      </c>
      <c r="H50" s="5" t="s">
        <v>124</v>
      </c>
      <c r="I50" s="5" t="s">
        <v>10</v>
      </c>
      <c r="J50" s="5" t="s">
        <v>445</v>
      </c>
      <c r="K50" s="5" t="s">
        <v>407</v>
      </c>
      <c r="L50" s="5" t="s">
        <v>112</v>
      </c>
      <c r="M50" s="5" t="s">
        <v>112</v>
      </c>
      <c r="N50" s="5" t="s">
        <v>112</v>
      </c>
      <c r="O50" s="8" t="s">
        <v>446</v>
      </c>
      <c r="P50" s="138" t="s">
        <v>447</v>
      </c>
      <c r="Q50" s="5" t="s">
        <v>448</v>
      </c>
      <c r="R50" s="8" t="s">
        <v>449</v>
      </c>
      <c r="S50" s="9" t="s">
        <v>1475</v>
      </c>
      <c r="T50" s="8">
        <v>4</v>
      </c>
      <c r="U50" s="8" t="s">
        <v>412</v>
      </c>
      <c r="V50" s="8">
        <v>0.56120000000000003</v>
      </c>
      <c r="W50" s="8"/>
      <c r="X50" s="10"/>
      <c r="Y50" s="8">
        <v>6000</v>
      </c>
      <c r="Z50" s="8" t="s">
        <v>117</v>
      </c>
      <c r="AA50" s="5" t="s">
        <v>42</v>
      </c>
      <c r="AB50" s="5" t="s">
        <v>222</v>
      </c>
      <c r="AC50" s="12"/>
      <c r="AD50" s="5"/>
      <c r="AE50" s="8" t="s">
        <v>9</v>
      </c>
      <c r="AF50" s="11"/>
      <c r="AG50" s="5"/>
      <c r="AH50" s="8"/>
      <c r="AI50" s="8" t="s">
        <v>1</v>
      </c>
      <c r="AJ50" s="9"/>
      <c r="AK50" s="11">
        <v>45960</v>
      </c>
      <c r="AL50" s="9"/>
      <c r="AM50" s="9" t="s">
        <v>54</v>
      </c>
      <c r="AN50" s="11"/>
      <c r="AO50" s="126" t="s">
        <v>1530</v>
      </c>
      <c r="AP50" s="32" t="s">
        <v>1531</v>
      </c>
      <c r="AQ50" s="32"/>
      <c r="AR50" s="32"/>
    </row>
    <row r="51" spans="1:44" x14ac:dyDescent="0.45">
      <c r="A51" s="35" t="s">
        <v>450</v>
      </c>
      <c r="B51" s="6">
        <v>45778</v>
      </c>
      <c r="C51" s="7">
        <v>2025</v>
      </c>
      <c r="D51" s="5" t="s">
        <v>105</v>
      </c>
      <c r="E51" s="5" t="s">
        <v>24</v>
      </c>
      <c r="F51" s="5" t="s">
        <v>123</v>
      </c>
      <c r="G51" s="5" t="s">
        <v>44</v>
      </c>
      <c r="H51" s="5" t="s">
        <v>124</v>
      </c>
      <c r="I51" s="5" t="s">
        <v>10</v>
      </c>
      <c r="J51" s="5" t="s">
        <v>451</v>
      </c>
      <c r="K51" s="5" t="s">
        <v>452</v>
      </c>
      <c r="L51" s="5" t="s">
        <v>112</v>
      </c>
      <c r="M51" s="5" t="s">
        <v>112</v>
      </c>
      <c r="N51" s="5" t="s">
        <v>112</v>
      </c>
      <c r="O51" s="8" t="s">
        <v>453</v>
      </c>
      <c r="P51" s="8" t="s">
        <v>112</v>
      </c>
      <c r="Q51" s="5" t="s">
        <v>454</v>
      </c>
      <c r="R51" s="8" t="s">
        <v>455</v>
      </c>
      <c r="S51" s="9" t="s">
        <v>1476</v>
      </c>
      <c r="T51" s="8">
        <v>58</v>
      </c>
      <c r="U51" s="8" t="s">
        <v>412</v>
      </c>
      <c r="V51" s="8">
        <v>8.1374000000000013</v>
      </c>
      <c r="W51" s="8"/>
      <c r="X51" s="10"/>
      <c r="Y51" s="8">
        <v>999997</v>
      </c>
      <c r="Z51" s="8" t="s">
        <v>117</v>
      </c>
      <c r="AA51" s="5" t="s">
        <v>42</v>
      </c>
      <c r="AB51" s="5" t="s">
        <v>222</v>
      </c>
      <c r="AC51" s="12"/>
      <c r="AD51" s="5"/>
      <c r="AE51" s="8" t="s">
        <v>9</v>
      </c>
      <c r="AF51" s="11"/>
      <c r="AG51" s="5"/>
      <c r="AH51" s="8"/>
      <c r="AI51" s="8" t="s">
        <v>1</v>
      </c>
      <c r="AJ51" s="9"/>
      <c r="AK51" s="11">
        <v>45960</v>
      </c>
      <c r="AL51" s="9"/>
      <c r="AM51" s="9" t="s">
        <v>54</v>
      </c>
      <c r="AN51" s="11"/>
      <c r="AO51" s="126" t="s">
        <v>1530</v>
      </c>
      <c r="AP51" s="32" t="s">
        <v>1531</v>
      </c>
      <c r="AQ51" s="32"/>
      <c r="AR51" s="32"/>
    </row>
    <row r="52" spans="1:44" x14ac:dyDescent="0.45">
      <c r="A52" s="36" t="s">
        <v>456</v>
      </c>
      <c r="B52" s="15">
        <v>45778</v>
      </c>
      <c r="C52" s="16">
        <v>2025</v>
      </c>
      <c r="D52" s="14" t="s">
        <v>105</v>
      </c>
      <c r="E52" s="14" t="s">
        <v>24</v>
      </c>
      <c r="F52" s="14" t="s">
        <v>123</v>
      </c>
      <c r="G52" s="14" t="s">
        <v>44</v>
      </c>
      <c r="H52" s="14" t="s">
        <v>124</v>
      </c>
      <c r="I52" s="14" t="s">
        <v>10</v>
      </c>
      <c r="J52" s="14" t="s">
        <v>457</v>
      </c>
      <c r="K52" s="14" t="s">
        <v>458</v>
      </c>
      <c r="L52" s="14" t="s">
        <v>112</v>
      </c>
      <c r="M52" s="14" t="s">
        <v>112</v>
      </c>
      <c r="N52" s="14" t="s">
        <v>112</v>
      </c>
      <c r="O52" s="17" t="s">
        <v>459</v>
      </c>
      <c r="P52" s="138" t="s">
        <v>460</v>
      </c>
      <c r="Q52" s="14" t="s">
        <v>461</v>
      </c>
      <c r="R52" s="17" t="s">
        <v>462</v>
      </c>
      <c r="S52" s="18" t="s">
        <v>1477</v>
      </c>
      <c r="T52" s="17">
        <v>19.670000000000002</v>
      </c>
      <c r="U52" s="17" t="s">
        <v>412</v>
      </c>
      <c r="V52" s="17">
        <v>2.7597010000000002</v>
      </c>
      <c r="W52" s="17"/>
      <c r="X52" s="19"/>
      <c r="Y52" s="17">
        <v>9000</v>
      </c>
      <c r="Z52" s="17" t="s">
        <v>117</v>
      </c>
      <c r="AA52" s="14" t="s">
        <v>42</v>
      </c>
      <c r="AB52" s="14" t="s">
        <v>222</v>
      </c>
      <c r="AC52" s="20"/>
      <c r="AD52" s="14"/>
      <c r="AE52" s="17" t="s">
        <v>9</v>
      </c>
      <c r="AF52" s="21"/>
      <c r="AG52" s="14"/>
      <c r="AH52" s="17"/>
      <c r="AI52" s="17" t="s">
        <v>2</v>
      </c>
      <c r="AJ52" s="18" t="s">
        <v>1528</v>
      </c>
      <c r="AK52" s="21"/>
      <c r="AL52" s="18"/>
      <c r="AM52" s="18"/>
      <c r="AN52" s="21"/>
      <c r="AO52" s="129" t="s">
        <v>1521</v>
      </c>
      <c r="AP52" s="22" t="s">
        <v>434</v>
      </c>
      <c r="AQ52" s="22"/>
      <c r="AR52" s="22"/>
    </row>
    <row r="53" spans="1:44" x14ac:dyDescent="0.45">
      <c r="A53" s="35" t="s">
        <v>463</v>
      </c>
      <c r="B53" s="6">
        <v>45778</v>
      </c>
      <c r="C53" s="7">
        <v>2025</v>
      </c>
      <c r="D53" s="5" t="s">
        <v>105</v>
      </c>
      <c r="E53" s="5" t="s">
        <v>24</v>
      </c>
      <c r="F53" s="5" t="s">
        <v>123</v>
      </c>
      <c r="G53" s="5" t="s">
        <v>44</v>
      </c>
      <c r="H53" s="5" t="s">
        <v>124</v>
      </c>
      <c r="I53" s="5" t="s">
        <v>10</v>
      </c>
      <c r="J53" s="5" t="s">
        <v>457</v>
      </c>
      <c r="K53" s="5" t="s">
        <v>458</v>
      </c>
      <c r="L53" s="5" t="s">
        <v>112</v>
      </c>
      <c r="M53" s="5" t="s">
        <v>112</v>
      </c>
      <c r="N53" s="5" t="s">
        <v>112</v>
      </c>
      <c r="O53" s="8" t="s">
        <v>464</v>
      </c>
      <c r="P53" s="8" t="s">
        <v>465</v>
      </c>
      <c r="Q53" s="5" t="s">
        <v>466</v>
      </c>
      <c r="R53" s="8" t="s">
        <v>467</v>
      </c>
      <c r="S53" s="9" t="s">
        <v>1478</v>
      </c>
      <c r="T53" s="8">
        <v>30.56</v>
      </c>
      <c r="U53" s="8" t="s">
        <v>412</v>
      </c>
      <c r="V53" s="8">
        <v>4.2875680000000003</v>
      </c>
      <c r="W53" s="8"/>
      <c r="X53" s="10"/>
      <c r="Y53" s="8">
        <v>9000</v>
      </c>
      <c r="Z53" s="8" t="s">
        <v>117</v>
      </c>
      <c r="AA53" s="5" t="s">
        <v>42</v>
      </c>
      <c r="AB53" s="5" t="s">
        <v>222</v>
      </c>
      <c r="AC53" s="12"/>
      <c r="AD53" s="5"/>
      <c r="AE53" s="8" t="s">
        <v>9</v>
      </c>
      <c r="AF53" s="11"/>
      <c r="AG53" s="5"/>
      <c r="AH53" s="8"/>
      <c r="AI53" s="8" t="s">
        <v>1</v>
      </c>
      <c r="AJ53" s="9"/>
      <c r="AK53" s="11">
        <v>45960</v>
      </c>
      <c r="AL53" s="9"/>
      <c r="AM53" s="9" t="s">
        <v>54</v>
      </c>
      <c r="AN53" s="11"/>
      <c r="AO53" s="126" t="s">
        <v>1530</v>
      </c>
      <c r="AP53" s="32" t="s">
        <v>1531</v>
      </c>
      <c r="AQ53" s="32"/>
      <c r="AR53" s="32"/>
    </row>
    <row r="54" spans="1:44" x14ac:dyDescent="0.45">
      <c r="A54" s="36" t="s">
        <v>468</v>
      </c>
      <c r="B54" s="15">
        <v>45778</v>
      </c>
      <c r="C54" s="16">
        <v>2025</v>
      </c>
      <c r="D54" s="14" t="s">
        <v>105</v>
      </c>
      <c r="E54" s="14" t="s">
        <v>24</v>
      </c>
      <c r="F54" s="14" t="s">
        <v>123</v>
      </c>
      <c r="G54" s="14" t="s">
        <v>44</v>
      </c>
      <c r="H54" s="14" t="s">
        <v>124</v>
      </c>
      <c r="I54" s="14" t="s">
        <v>10</v>
      </c>
      <c r="J54" s="14" t="s">
        <v>457</v>
      </c>
      <c r="K54" s="14" t="s">
        <v>458</v>
      </c>
      <c r="L54" s="14" t="s">
        <v>112</v>
      </c>
      <c r="M54" s="14" t="s">
        <v>112</v>
      </c>
      <c r="N54" s="14" t="s">
        <v>112</v>
      </c>
      <c r="O54" s="17" t="s">
        <v>469</v>
      </c>
      <c r="P54" s="17" t="s">
        <v>470</v>
      </c>
      <c r="Q54" s="14" t="s">
        <v>471</v>
      </c>
      <c r="R54" s="17" t="s">
        <v>472</v>
      </c>
      <c r="S54" s="18" t="s">
        <v>1479</v>
      </c>
      <c r="T54" s="17">
        <v>14.22</v>
      </c>
      <c r="U54" s="17" t="s">
        <v>412</v>
      </c>
      <c r="V54" s="17">
        <v>1.9950660000000002</v>
      </c>
      <c r="W54" s="17"/>
      <c r="X54" s="19"/>
      <c r="Y54" s="17">
        <v>9000</v>
      </c>
      <c r="Z54" s="17" t="s">
        <v>117</v>
      </c>
      <c r="AA54" s="14" t="s">
        <v>42</v>
      </c>
      <c r="AB54" s="14" t="s">
        <v>222</v>
      </c>
      <c r="AC54" s="20"/>
      <c r="AD54" s="14"/>
      <c r="AE54" s="17" t="s">
        <v>9</v>
      </c>
      <c r="AF54" s="21"/>
      <c r="AG54" s="14"/>
      <c r="AH54" s="17"/>
      <c r="AI54" s="17" t="s">
        <v>2</v>
      </c>
      <c r="AJ54" s="18" t="s">
        <v>1528</v>
      </c>
      <c r="AK54" s="21"/>
      <c r="AL54" s="18"/>
      <c r="AM54" s="18"/>
      <c r="AN54" s="21"/>
      <c r="AO54" s="129" t="s">
        <v>1521</v>
      </c>
      <c r="AP54" s="22" t="s">
        <v>434</v>
      </c>
      <c r="AQ54" s="22"/>
    </row>
    <row r="55" spans="1:44" x14ac:dyDescent="0.45">
      <c r="A55" s="36" t="s">
        <v>473</v>
      </c>
      <c r="B55" s="15">
        <v>45778</v>
      </c>
      <c r="C55" s="16">
        <v>2025</v>
      </c>
      <c r="D55" s="14" t="s">
        <v>105</v>
      </c>
      <c r="E55" s="14" t="s">
        <v>24</v>
      </c>
      <c r="F55" s="14" t="s">
        <v>123</v>
      </c>
      <c r="G55" s="14" t="s">
        <v>44</v>
      </c>
      <c r="H55" s="14" t="s">
        <v>124</v>
      </c>
      <c r="I55" s="14" t="s">
        <v>10</v>
      </c>
      <c r="J55" s="14" t="s">
        <v>457</v>
      </c>
      <c r="K55" s="14" t="s">
        <v>458</v>
      </c>
      <c r="L55" s="14" t="s">
        <v>112</v>
      </c>
      <c r="M55" s="14" t="s">
        <v>112</v>
      </c>
      <c r="N55" s="14" t="s">
        <v>112</v>
      </c>
      <c r="O55" s="17" t="s">
        <v>474</v>
      </c>
      <c r="P55" s="17" t="s">
        <v>475</v>
      </c>
      <c r="Q55" s="14" t="s">
        <v>476</v>
      </c>
      <c r="R55" s="17" t="s">
        <v>477</v>
      </c>
      <c r="S55" s="18" t="s">
        <v>1480</v>
      </c>
      <c r="T55" s="17">
        <v>13.73</v>
      </c>
      <c r="U55" s="17" t="s">
        <v>412</v>
      </c>
      <c r="V55" s="17">
        <v>1.9263190000000001</v>
      </c>
      <c r="W55" s="17"/>
      <c r="X55" s="19"/>
      <c r="Y55" s="17">
        <v>9000</v>
      </c>
      <c r="Z55" s="17" t="s">
        <v>117</v>
      </c>
      <c r="AA55" s="14" t="s">
        <v>42</v>
      </c>
      <c r="AB55" s="14" t="s">
        <v>222</v>
      </c>
      <c r="AC55" s="20"/>
      <c r="AD55" s="14"/>
      <c r="AE55" s="17" t="s">
        <v>9</v>
      </c>
      <c r="AF55" s="21"/>
      <c r="AG55" s="14"/>
      <c r="AH55" s="17"/>
      <c r="AI55" s="17" t="s">
        <v>2</v>
      </c>
      <c r="AJ55" s="18" t="s">
        <v>1528</v>
      </c>
      <c r="AK55" s="21"/>
      <c r="AL55" s="18"/>
      <c r="AM55" s="18"/>
      <c r="AN55" s="21"/>
      <c r="AO55" s="129" t="s">
        <v>1521</v>
      </c>
      <c r="AP55" s="22" t="s">
        <v>434</v>
      </c>
      <c r="AQ55" s="22"/>
    </row>
    <row r="56" spans="1:44" x14ac:dyDescent="0.45">
      <c r="A56" s="35" t="s">
        <v>478</v>
      </c>
      <c r="B56" s="6">
        <v>45778</v>
      </c>
      <c r="C56" s="7">
        <v>2025</v>
      </c>
      <c r="D56" s="5" t="s">
        <v>105</v>
      </c>
      <c r="E56" s="5" t="s">
        <v>24</v>
      </c>
      <c r="F56" s="5" t="s">
        <v>123</v>
      </c>
      <c r="G56" s="5" t="s">
        <v>44</v>
      </c>
      <c r="H56" s="5" t="s">
        <v>124</v>
      </c>
      <c r="I56" s="5" t="s">
        <v>10</v>
      </c>
      <c r="J56" s="5" t="s">
        <v>457</v>
      </c>
      <c r="K56" s="5" t="s">
        <v>458</v>
      </c>
      <c r="L56" s="5" t="s">
        <v>112</v>
      </c>
      <c r="M56" s="5" t="s">
        <v>112</v>
      </c>
      <c r="N56" s="5" t="s">
        <v>112</v>
      </c>
      <c r="O56" s="8" t="s">
        <v>453</v>
      </c>
      <c r="P56" s="8" t="s">
        <v>479</v>
      </c>
      <c r="Q56" s="5" t="s">
        <v>480</v>
      </c>
      <c r="R56" s="8" t="s">
        <v>481</v>
      </c>
      <c r="S56" s="9" t="s">
        <v>1481</v>
      </c>
      <c r="T56" s="8">
        <v>60.26</v>
      </c>
      <c r="U56" s="8" t="s">
        <v>412</v>
      </c>
      <c r="V56" s="8">
        <v>8.4544779999999999</v>
      </c>
      <c r="W56" s="8"/>
      <c r="X56" s="10"/>
      <c r="Y56" s="8">
        <v>9000</v>
      </c>
      <c r="Z56" s="8" t="s">
        <v>117</v>
      </c>
      <c r="AA56" s="5" t="s">
        <v>42</v>
      </c>
      <c r="AB56" s="5" t="s">
        <v>222</v>
      </c>
      <c r="AC56" s="12"/>
      <c r="AD56" s="5"/>
      <c r="AE56" s="8" t="s">
        <v>9</v>
      </c>
      <c r="AF56" s="11"/>
      <c r="AG56" s="5"/>
      <c r="AH56" s="8"/>
      <c r="AI56" s="8" t="s">
        <v>1</v>
      </c>
      <c r="AJ56" s="9"/>
      <c r="AK56" s="11">
        <v>45960</v>
      </c>
      <c r="AL56" s="9"/>
      <c r="AM56" s="9" t="s">
        <v>54</v>
      </c>
      <c r="AN56" s="11"/>
      <c r="AO56" s="126" t="s">
        <v>1530</v>
      </c>
      <c r="AP56" s="32" t="s">
        <v>1531</v>
      </c>
      <c r="AQ56" s="32"/>
      <c r="AR56" s="32"/>
    </row>
    <row r="57" spans="1:44" x14ac:dyDescent="0.45">
      <c r="A57" s="36" t="s">
        <v>482</v>
      </c>
      <c r="B57" s="15">
        <v>45778</v>
      </c>
      <c r="C57" s="16">
        <v>2025</v>
      </c>
      <c r="D57" s="14" t="s">
        <v>105</v>
      </c>
      <c r="E57" s="14" t="s">
        <v>24</v>
      </c>
      <c r="F57" s="14" t="s">
        <v>123</v>
      </c>
      <c r="G57" s="14" t="s">
        <v>44</v>
      </c>
      <c r="H57" s="14" t="s">
        <v>124</v>
      </c>
      <c r="I57" s="14" t="s">
        <v>10</v>
      </c>
      <c r="J57" s="14" t="s">
        <v>457</v>
      </c>
      <c r="K57" s="14" t="s">
        <v>458</v>
      </c>
      <c r="L57" s="14" t="s">
        <v>112</v>
      </c>
      <c r="M57" s="14" t="s">
        <v>112</v>
      </c>
      <c r="N57" s="14" t="s">
        <v>112</v>
      </c>
      <c r="O57" s="17" t="s">
        <v>483</v>
      </c>
      <c r="P57" s="17" t="s">
        <v>484</v>
      </c>
      <c r="Q57" s="14" t="s">
        <v>485</v>
      </c>
      <c r="R57" s="17" t="s">
        <v>486</v>
      </c>
      <c r="S57" s="18" t="s">
        <v>1482</v>
      </c>
      <c r="T57" s="17">
        <v>251.33</v>
      </c>
      <c r="U57" s="17" t="s">
        <v>412</v>
      </c>
      <c r="V57" s="17">
        <v>35.261599000000004</v>
      </c>
      <c r="W57" s="17"/>
      <c r="X57" s="19"/>
      <c r="Y57" s="17">
        <v>11000</v>
      </c>
      <c r="Z57" s="17" t="s">
        <v>117</v>
      </c>
      <c r="AA57" s="14" t="s">
        <v>42</v>
      </c>
      <c r="AB57" s="14" t="s">
        <v>222</v>
      </c>
      <c r="AC57" s="20"/>
      <c r="AD57" s="14"/>
      <c r="AE57" s="17" t="s">
        <v>9</v>
      </c>
      <c r="AF57" s="21"/>
      <c r="AG57" s="14"/>
      <c r="AH57" s="17"/>
      <c r="AI57" s="17" t="s">
        <v>2</v>
      </c>
      <c r="AJ57" s="18" t="s">
        <v>1528</v>
      </c>
      <c r="AK57" s="21"/>
      <c r="AL57" s="18"/>
      <c r="AM57" s="18"/>
      <c r="AN57" s="21"/>
      <c r="AO57" s="129" t="s">
        <v>1521</v>
      </c>
      <c r="AP57" s="22" t="s">
        <v>434</v>
      </c>
      <c r="AQ57" s="22"/>
    </row>
    <row r="58" spans="1:44" x14ac:dyDescent="0.45">
      <c r="A58" s="35" t="s">
        <v>487</v>
      </c>
      <c r="B58" s="6">
        <v>45957</v>
      </c>
      <c r="C58" s="7">
        <v>2025</v>
      </c>
      <c r="D58" s="5" t="s">
        <v>105</v>
      </c>
      <c r="E58" s="5" t="s">
        <v>25</v>
      </c>
      <c r="F58" s="5" t="s">
        <v>25</v>
      </c>
      <c r="G58" s="5" t="s">
        <v>51</v>
      </c>
      <c r="H58" s="5" t="s">
        <v>124</v>
      </c>
      <c r="I58" s="5" t="s">
        <v>10</v>
      </c>
      <c r="J58" s="5" t="s">
        <v>316</v>
      </c>
      <c r="K58" s="5" t="s">
        <v>317</v>
      </c>
      <c r="L58" s="5" t="s">
        <v>318</v>
      </c>
      <c r="M58" s="5" t="s">
        <v>319</v>
      </c>
      <c r="N58" s="5" t="s">
        <v>320</v>
      </c>
      <c r="O58" s="8" t="s">
        <v>218</v>
      </c>
      <c r="P58" s="8" t="s">
        <v>112</v>
      </c>
      <c r="Q58" s="5" t="s">
        <v>1532</v>
      </c>
      <c r="R58" s="8" t="s">
        <v>488</v>
      </c>
      <c r="S58" s="9" t="s">
        <v>1533</v>
      </c>
      <c r="T58" s="8" t="s">
        <v>323</v>
      </c>
      <c r="U58" s="8" t="s">
        <v>323</v>
      </c>
      <c r="V58" s="8" t="s">
        <v>323</v>
      </c>
      <c r="W58" s="8" t="s">
        <v>323</v>
      </c>
      <c r="X58" s="10"/>
      <c r="Y58" s="8">
        <v>208</v>
      </c>
      <c r="Z58" s="8" t="s">
        <v>117</v>
      </c>
      <c r="AA58" s="5" t="s">
        <v>48</v>
      </c>
      <c r="AB58" s="5" t="s">
        <v>1483</v>
      </c>
      <c r="AC58" s="12"/>
      <c r="AD58" s="5"/>
      <c r="AE58" s="8" t="s">
        <v>9</v>
      </c>
      <c r="AF58" s="11"/>
      <c r="AG58" s="5"/>
      <c r="AH58" s="8"/>
      <c r="AI58" s="8" t="s">
        <v>1</v>
      </c>
      <c r="AJ58" s="9"/>
      <c r="AK58" s="11">
        <v>45979</v>
      </c>
      <c r="AL58" s="9" t="s">
        <v>323</v>
      </c>
      <c r="AM58" s="9" t="s">
        <v>17</v>
      </c>
      <c r="AN58" s="11">
        <v>45989</v>
      </c>
      <c r="AO58" s="38"/>
    </row>
    <row r="59" spans="1:44" x14ac:dyDescent="0.45">
      <c r="A59" s="35" t="s">
        <v>489</v>
      </c>
      <c r="B59" s="6">
        <v>45957</v>
      </c>
      <c r="C59" s="7">
        <v>2025</v>
      </c>
      <c r="D59" s="5" t="s">
        <v>105</v>
      </c>
      <c r="E59" s="5" t="s">
        <v>25</v>
      </c>
      <c r="F59" s="5" t="s">
        <v>25</v>
      </c>
      <c r="G59" s="5" t="s">
        <v>51</v>
      </c>
      <c r="H59" s="5" t="s">
        <v>124</v>
      </c>
      <c r="I59" s="5" t="s">
        <v>10</v>
      </c>
      <c r="J59" s="5" t="s">
        <v>316</v>
      </c>
      <c r="K59" s="5" t="s">
        <v>317</v>
      </c>
      <c r="L59" s="5" t="s">
        <v>318</v>
      </c>
      <c r="M59" s="5" t="s">
        <v>319</v>
      </c>
      <c r="N59" s="5" t="s">
        <v>320</v>
      </c>
      <c r="O59" s="8" t="s">
        <v>112</v>
      </c>
      <c r="P59" s="8" t="s">
        <v>112</v>
      </c>
      <c r="Q59" s="5" t="s">
        <v>1534</v>
      </c>
      <c r="R59" s="8" t="s">
        <v>490</v>
      </c>
      <c r="S59" s="9" t="s">
        <v>1484</v>
      </c>
      <c r="T59" s="8" t="s">
        <v>323</v>
      </c>
      <c r="U59" s="8" t="s">
        <v>323</v>
      </c>
      <c r="V59" s="8" t="s">
        <v>323</v>
      </c>
      <c r="W59" s="8" t="s">
        <v>323</v>
      </c>
      <c r="X59" s="10"/>
      <c r="Y59" s="8" t="s">
        <v>323</v>
      </c>
      <c r="Z59" s="8" t="s">
        <v>117</v>
      </c>
      <c r="AA59" s="5" t="s">
        <v>48</v>
      </c>
      <c r="AB59" s="5" t="s">
        <v>1483</v>
      </c>
      <c r="AC59" s="12"/>
      <c r="AD59" s="5"/>
      <c r="AE59" s="8" t="s">
        <v>9</v>
      </c>
      <c r="AF59" s="11"/>
      <c r="AG59" s="5"/>
      <c r="AH59" s="8"/>
      <c r="AI59" s="8" t="s">
        <v>1</v>
      </c>
      <c r="AJ59" s="9"/>
      <c r="AK59" s="11">
        <v>45979</v>
      </c>
      <c r="AL59" s="9" t="s">
        <v>323</v>
      </c>
      <c r="AM59" s="9" t="s">
        <v>17</v>
      </c>
      <c r="AN59" s="11">
        <v>45989</v>
      </c>
      <c r="AO59" s="38"/>
    </row>
    <row r="60" spans="1:44" x14ac:dyDescent="0.45">
      <c r="A60" s="35" t="s">
        <v>491</v>
      </c>
      <c r="B60" s="6">
        <v>45957</v>
      </c>
      <c r="C60" s="7">
        <v>2025</v>
      </c>
      <c r="D60" s="5" t="s">
        <v>105</v>
      </c>
      <c r="E60" s="5" t="s">
        <v>25</v>
      </c>
      <c r="F60" s="5" t="s">
        <v>25</v>
      </c>
      <c r="G60" s="5" t="s">
        <v>51</v>
      </c>
      <c r="H60" s="5" t="s">
        <v>124</v>
      </c>
      <c r="I60" s="5" t="s">
        <v>10</v>
      </c>
      <c r="J60" s="5" t="s">
        <v>316</v>
      </c>
      <c r="K60" s="5" t="s">
        <v>317</v>
      </c>
      <c r="L60" s="5" t="s">
        <v>318</v>
      </c>
      <c r="M60" s="5" t="s">
        <v>319</v>
      </c>
      <c r="N60" s="5" t="s">
        <v>320</v>
      </c>
      <c r="O60" s="8" t="s">
        <v>492</v>
      </c>
      <c r="P60" s="8" t="s">
        <v>112</v>
      </c>
      <c r="Q60" s="5" t="s">
        <v>1535</v>
      </c>
      <c r="R60" s="8" t="s">
        <v>493</v>
      </c>
      <c r="S60" s="9" t="s">
        <v>1536</v>
      </c>
      <c r="T60" s="8" t="s">
        <v>323</v>
      </c>
      <c r="U60" s="8" t="s">
        <v>323</v>
      </c>
      <c r="V60" s="8" t="s">
        <v>323</v>
      </c>
      <c r="W60" s="8" t="s">
        <v>323</v>
      </c>
      <c r="X60" s="10"/>
      <c r="Y60" s="8">
        <v>1138</v>
      </c>
      <c r="Z60" s="8" t="s">
        <v>117</v>
      </c>
      <c r="AA60" s="5" t="s">
        <v>48</v>
      </c>
      <c r="AB60" s="5" t="s">
        <v>1483</v>
      </c>
      <c r="AC60" s="12"/>
      <c r="AD60" s="5"/>
      <c r="AE60" s="8" t="s">
        <v>9</v>
      </c>
      <c r="AF60" s="11"/>
      <c r="AG60" s="5"/>
      <c r="AH60" s="8"/>
      <c r="AI60" s="8" t="s">
        <v>1</v>
      </c>
      <c r="AJ60" s="9"/>
      <c r="AK60" s="11">
        <v>45979</v>
      </c>
      <c r="AL60" s="9" t="s">
        <v>323</v>
      </c>
      <c r="AM60" s="9" t="s">
        <v>17</v>
      </c>
      <c r="AN60" s="11">
        <v>45989</v>
      </c>
      <c r="AO60" s="38"/>
    </row>
    <row r="61" spans="1:44" x14ac:dyDescent="0.45">
      <c r="A61" s="35" t="s">
        <v>494</v>
      </c>
      <c r="B61" s="6">
        <v>45957</v>
      </c>
      <c r="C61" s="7">
        <v>2025</v>
      </c>
      <c r="D61" s="5" t="s">
        <v>105</v>
      </c>
      <c r="E61" s="5" t="s">
        <v>25</v>
      </c>
      <c r="F61" s="5" t="s">
        <v>25</v>
      </c>
      <c r="G61" s="5" t="s">
        <v>51</v>
      </c>
      <c r="H61" s="5" t="s">
        <v>124</v>
      </c>
      <c r="I61" s="5" t="s">
        <v>10</v>
      </c>
      <c r="J61" s="5" t="s">
        <v>316</v>
      </c>
      <c r="K61" s="5" t="s">
        <v>317</v>
      </c>
      <c r="L61" s="5" t="s">
        <v>318</v>
      </c>
      <c r="M61" s="5" t="s">
        <v>319</v>
      </c>
      <c r="N61" s="5" t="s">
        <v>320</v>
      </c>
      <c r="O61" s="8" t="s">
        <v>218</v>
      </c>
      <c r="P61" s="8" t="s">
        <v>112</v>
      </c>
      <c r="Q61" s="5" t="s">
        <v>1537</v>
      </c>
      <c r="R61" s="8" t="s">
        <v>495</v>
      </c>
      <c r="S61" s="9" t="s">
        <v>1538</v>
      </c>
      <c r="T61" s="8" t="s">
        <v>323</v>
      </c>
      <c r="U61" s="8" t="s">
        <v>323</v>
      </c>
      <c r="V61" s="8" t="s">
        <v>323</v>
      </c>
      <c r="W61" s="8" t="s">
        <v>323</v>
      </c>
      <c r="X61" s="10"/>
      <c r="Y61" s="8">
        <v>807</v>
      </c>
      <c r="Z61" s="8" t="s">
        <v>117</v>
      </c>
      <c r="AA61" s="5" t="s">
        <v>48</v>
      </c>
      <c r="AB61" s="5" t="s">
        <v>1483</v>
      </c>
      <c r="AC61" s="12"/>
      <c r="AD61" s="5"/>
      <c r="AE61" s="8" t="s">
        <v>9</v>
      </c>
      <c r="AF61" s="11"/>
      <c r="AG61" s="5"/>
      <c r="AH61" s="8"/>
      <c r="AI61" s="8" t="s">
        <v>1</v>
      </c>
      <c r="AJ61" s="9"/>
      <c r="AK61" s="11">
        <v>45979</v>
      </c>
      <c r="AL61" s="9" t="s">
        <v>323</v>
      </c>
      <c r="AM61" s="9" t="s">
        <v>17</v>
      </c>
      <c r="AN61" s="11">
        <v>45989</v>
      </c>
      <c r="AO61" s="38"/>
    </row>
    <row r="62" spans="1:44" x14ac:dyDescent="0.45">
      <c r="A62" s="35" t="s">
        <v>496</v>
      </c>
      <c r="B62" s="6">
        <v>45957</v>
      </c>
      <c r="C62" s="7">
        <v>2025</v>
      </c>
      <c r="D62" s="5" t="s">
        <v>105</v>
      </c>
      <c r="E62" s="5" t="s">
        <v>25</v>
      </c>
      <c r="F62" s="5" t="s">
        <v>25</v>
      </c>
      <c r="G62" s="5" t="s">
        <v>51</v>
      </c>
      <c r="H62" s="5" t="s">
        <v>124</v>
      </c>
      <c r="I62" s="5" t="s">
        <v>10</v>
      </c>
      <c r="J62" s="5" t="s">
        <v>316</v>
      </c>
      <c r="K62" s="5" t="s">
        <v>317</v>
      </c>
      <c r="L62" s="5" t="s">
        <v>318</v>
      </c>
      <c r="M62" s="5" t="s">
        <v>319</v>
      </c>
      <c r="N62" s="5" t="s">
        <v>320</v>
      </c>
      <c r="O62" s="8" t="s">
        <v>474</v>
      </c>
      <c r="P62" s="8" t="s">
        <v>112</v>
      </c>
      <c r="Q62" s="5" t="s">
        <v>1539</v>
      </c>
      <c r="R62" s="8" t="s">
        <v>497</v>
      </c>
      <c r="S62" s="9" t="s">
        <v>1540</v>
      </c>
      <c r="T62" s="8" t="s">
        <v>323</v>
      </c>
      <c r="U62" s="8" t="s">
        <v>323</v>
      </c>
      <c r="V62" s="8" t="s">
        <v>323</v>
      </c>
      <c r="W62" s="8" t="s">
        <v>323</v>
      </c>
      <c r="X62" s="10"/>
      <c r="Y62" s="8">
        <v>1394</v>
      </c>
      <c r="Z62" s="8" t="s">
        <v>117</v>
      </c>
      <c r="AA62" s="5" t="s">
        <v>48</v>
      </c>
      <c r="AB62" s="5" t="s">
        <v>1483</v>
      </c>
      <c r="AC62" s="12"/>
      <c r="AD62" s="5"/>
      <c r="AE62" s="8" t="s">
        <v>9</v>
      </c>
      <c r="AF62" s="11"/>
      <c r="AG62" s="5"/>
      <c r="AH62" s="8"/>
      <c r="AI62" s="8" t="s">
        <v>1</v>
      </c>
      <c r="AJ62" s="9"/>
      <c r="AK62" s="11">
        <v>45979</v>
      </c>
      <c r="AL62" s="9" t="s">
        <v>323</v>
      </c>
      <c r="AM62" s="9" t="s">
        <v>17</v>
      </c>
      <c r="AN62" s="11">
        <v>45989</v>
      </c>
      <c r="AO62" s="38"/>
    </row>
    <row r="63" spans="1:44" x14ac:dyDescent="0.45">
      <c r="A63" s="35" t="s">
        <v>498</v>
      </c>
      <c r="B63" s="6">
        <v>45957</v>
      </c>
      <c r="C63" s="7">
        <v>2025</v>
      </c>
      <c r="D63" s="5" t="s">
        <v>105</v>
      </c>
      <c r="E63" s="5" t="s">
        <v>25</v>
      </c>
      <c r="F63" s="5" t="s">
        <v>25</v>
      </c>
      <c r="G63" s="5" t="s">
        <v>51</v>
      </c>
      <c r="H63" s="5" t="s">
        <v>124</v>
      </c>
      <c r="I63" s="5" t="s">
        <v>10</v>
      </c>
      <c r="J63" s="5" t="s">
        <v>316</v>
      </c>
      <c r="K63" s="5" t="s">
        <v>317</v>
      </c>
      <c r="L63" s="5" t="s">
        <v>318</v>
      </c>
      <c r="M63" s="5" t="s">
        <v>319</v>
      </c>
      <c r="N63" s="5" t="s">
        <v>320</v>
      </c>
      <c r="O63" s="8" t="s">
        <v>499</v>
      </c>
      <c r="P63" s="8" t="s">
        <v>112</v>
      </c>
      <c r="Q63" s="5" t="s">
        <v>1541</v>
      </c>
      <c r="R63" s="8" t="s">
        <v>500</v>
      </c>
      <c r="S63" s="9" t="s">
        <v>1485</v>
      </c>
      <c r="T63" s="8" t="s">
        <v>323</v>
      </c>
      <c r="U63" s="8" t="s">
        <v>323</v>
      </c>
      <c r="V63" s="8" t="s">
        <v>323</v>
      </c>
      <c r="W63" s="8" t="s">
        <v>323</v>
      </c>
      <c r="X63" s="10"/>
      <c r="Y63" s="8">
        <v>1376</v>
      </c>
      <c r="Z63" s="8" t="s">
        <v>117</v>
      </c>
      <c r="AA63" s="5" t="s">
        <v>48</v>
      </c>
      <c r="AB63" s="5" t="s">
        <v>1483</v>
      </c>
      <c r="AC63" s="12"/>
      <c r="AD63" s="5"/>
      <c r="AE63" s="8" t="s">
        <v>9</v>
      </c>
      <c r="AF63" s="11"/>
      <c r="AG63" s="5"/>
      <c r="AH63" s="8"/>
      <c r="AI63" s="8" t="s">
        <v>1</v>
      </c>
      <c r="AJ63" s="9"/>
      <c r="AK63" s="11">
        <v>45979</v>
      </c>
      <c r="AL63" s="9" t="s">
        <v>323</v>
      </c>
      <c r="AM63" s="9" t="s">
        <v>17</v>
      </c>
      <c r="AN63" s="11">
        <v>45989</v>
      </c>
      <c r="AO63" s="38"/>
    </row>
    <row r="64" spans="1:44" x14ac:dyDescent="0.45">
      <c r="A64" s="35" t="s">
        <v>501</v>
      </c>
      <c r="B64" s="6">
        <v>45957</v>
      </c>
      <c r="C64" s="7">
        <v>2025</v>
      </c>
      <c r="D64" s="5" t="s">
        <v>105</v>
      </c>
      <c r="E64" s="5" t="s">
        <v>25</v>
      </c>
      <c r="F64" s="5" t="s">
        <v>25</v>
      </c>
      <c r="G64" s="5" t="s">
        <v>51</v>
      </c>
      <c r="H64" s="5" t="s">
        <v>124</v>
      </c>
      <c r="I64" s="5" t="s">
        <v>10</v>
      </c>
      <c r="J64" s="5" t="s">
        <v>316</v>
      </c>
      <c r="K64" s="5" t="s">
        <v>317</v>
      </c>
      <c r="L64" s="5" t="s">
        <v>318</v>
      </c>
      <c r="M64" s="5" t="s">
        <v>319</v>
      </c>
      <c r="N64" s="5" t="s">
        <v>320</v>
      </c>
      <c r="O64" s="8" t="s">
        <v>502</v>
      </c>
      <c r="P64" s="8" t="s">
        <v>112</v>
      </c>
      <c r="Q64" s="5" t="s">
        <v>1542</v>
      </c>
      <c r="R64" s="8" t="s">
        <v>503</v>
      </c>
      <c r="S64" s="9" t="s">
        <v>1486</v>
      </c>
      <c r="T64" s="8" t="s">
        <v>323</v>
      </c>
      <c r="U64" s="8" t="s">
        <v>323</v>
      </c>
      <c r="V64" s="8" t="s">
        <v>323</v>
      </c>
      <c r="W64" s="8" t="s">
        <v>323</v>
      </c>
      <c r="X64" s="10"/>
      <c r="Y64" s="8">
        <v>2868</v>
      </c>
      <c r="Z64" s="8" t="s">
        <v>117</v>
      </c>
      <c r="AA64" s="5" t="s">
        <v>48</v>
      </c>
      <c r="AB64" s="5" t="s">
        <v>1483</v>
      </c>
      <c r="AC64" s="12"/>
      <c r="AD64" s="5"/>
      <c r="AE64" s="8" t="s">
        <v>9</v>
      </c>
      <c r="AF64" s="11"/>
      <c r="AG64" s="5"/>
      <c r="AH64" s="8"/>
      <c r="AI64" s="8" t="s">
        <v>1</v>
      </c>
      <c r="AJ64" s="9"/>
      <c r="AK64" s="11">
        <v>45979</v>
      </c>
      <c r="AL64" s="9" t="s">
        <v>323</v>
      </c>
      <c r="AM64" s="9" t="s">
        <v>17</v>
      </c>
      <c r="AN64" s="11">
        <v>45989</v>
      </c>
      <c r="AO64" s="38"/>
    </row>
    <row r="65" spans="1:41" x14ac:dyDescent="0.45">
      <c r="A65" s="35" t="s">
        <v>504</v>
      </c>
      <c r="B65" s="6">
        <v>45957</v>
      </c>
      <c r="C65" s="7">
        <v>2025</v>
      </c>
      <c r="D65" s="5" t="s">
        <v>105</v>
      </c>
      <c r="E65" s="5" t="s">
        <v>25</v>
      </c>
      <c r="F65" s="5" t="s">
        <v>25</v>
      </c>
      <c r="G65" s="5" t="s">
        <v>51</v>
      </c>
      <c r="H65" s="5" t="s">
        <v>124</v>
      </c>
      <c r="I65" s="5" t="s">
        <v>10</v>
      </c>
      <c r="J65" s="5" t="s">
        <v>316</v>
      </c>
      <c r="K65" s="5" t="s">
        <v>317</v>
      </c>
      <c r="L65" s="5" t="s">
        <v>318</v>
      </c>
      <c r="M65" s="5" t="s">
        <v>319</v>
      </c>
      <c r="N65" s="5" t="s">
        <v>320</v>
      </c>
      <c r="O65" s="8" t="s">
        <v>505</v>
      </c>
      <c r="P65" s="8" t="s">
        <v>112</v>
      </c>
      <c r="Q65" s="5" t="s">
        <v>1543</v>
      </c>
      <c r="R65" s="8" t="s">
        <v>506</v>
      </c>
      <c r="S65" s="9" t="s">
        <v>1544</v>
      </c>
      <c r="T65" s="8" t="s">
        <v>323</v>
      </c>
      <c r="U65" s="8" t="s">
        <v>323</v>
      </c>
      <c r="V65" s="8" t="s">
        <v>323</v>
      </c>
      <c r="W65" s="8" t="s">
        <v>323</v>
      </c>
      <c r="X65" s="10"/>
      <c r="Y65" s="8">
        <v>2847</v>
      </c>
      <c r="Z65" s="8" t="s">
        <v>117</v>
      </c>
      <c r="AA65" s="5" t="s">
        <v>48</v>
      </c>
      <c r="AB65" s="5" t="s">
        <v>1483</v>
      </c>
      <c r="AC65" s="12"/>
      <c r="AD65" s="5"/>
      <c r="AE65" s="8" t="s">
        <v>9</v>
      </c>
      <c r="AF65" s="11"/>
      <c r="AG65" s="5"/>
      <c r="AH65" s="8"/>
      <c r="AI65" s="8" t="s">
        <v>1</v>
      </c>
      <c r="AJ65" s="9"/>
      <c r="AK65" s="11">
        <v>45979</v>
      </c>
      <c r="AL65" s="9" t="s">
        <v>323</v>
      </c>
      <c r="AM65" s="9" t="s">
        <v>17</v>
      </c>
      <c r="AN65" s="11">
        <v>45989</v>
      </c>
      <c r="AO65" s="38"/>
    </row>
    <row r="66" spans="1:41" x14ac:dyDescent="0.45">
      <c r="A66" s="35" t="s">
        <v>507</v>
      </c>
      <c r="B66" s="6">
        <v>45957</v>
      </c>
      <c r="C66" s="7">
        <v>2025</v>
      </c>
      <c r="D66" s="5" t="s">
        <v>105</v>
      </c>
      <c r="E66" s="5" t="s">
        <v>25</v>
      </c>
      <c r="F66" s="5" t="s">
        <v>25</v>
      </c>
      <c r="G66" s="5" t="s">
        <v>51</v>
      </c>
      <c r="H66" s="5" t="s">
        <v>124</v>
      </c>
      <c r="I66" s="5" t="s">
        <v>10</v>
      </c>
      <c r="J66" s="5" t="s">
        <v>316</v>
      </c>
      <c r="K66" s="5" t="s">
        <v>317</v>
      </c>
      <c r="L66" s="5" t="s">
        <v>318</v>
      </c>
      <c r="M66" s="5" t="s">
        <v>319</v>
      </c>
      <c r="N66" s="5" t="s">
        <v>320</v>
      </c>
      <c r="O66" s="8" t="s">
        <v>508</v>
      </c>
      <c r="P66" s="8" t="s">
        <v>112</v>
      </c>
      <c r="Q66" s="5" t="s">
        <v>1545</v>
      </c>
      <c r="R66" s="8" t="s">
        <v>509</v>
      </c>
      <c r="S66" s="9" t="s">
        <v>1487</v>
      </c>
      <c r="T66" s="8" t="s">
        <v>323</v>
      </c>
      <c r="U66" s="8" t="s">
        <v>323</v>
      </c>
      <c r="V66" s="8" t="s">
        <v>323</v>
      </c>
      <c r="W66" s="8" t="s">
        <v>323</v>
      </c>
      <c r="X66" s="10"/>
      <c r="Y66" s="8">
        <v>2908</v>
      </c>
      <c r="Z66" s="8" t="s">
        <v>117</v>
      </c>
      <c r="AA66" s="5" t="s">
        <v>48</v>
      </c>
      <c r="AB66" s="5" t="s">
        <v>1483</v>
      </c>
      <c r="AC66" s="12"/>
      <c r="AD66" s="5"/>
      <c r="AE66" s="8" t="s">
        <v>9</v>
      </c>
      <c r="AF66" s="11"/>
      <c r="AG66" s="5"/>
      <c r="AH66" s="8"/>
      <c r="AI66" s="8" t="s">
        <v>1</v>
      </c>
      <c r="AJ66" s="9"/>
      <c r="AK66" s="11">
        <v>45979</v>
      </c>
      <c r="AL66" s="9" t="s">
        <v>323</v>
      </c>
      <c r="AM66" s="9" t="s">
        <v>17</v>
      </c>
      <c r="AN66" s="11">
        <v>45989</v>
      </c>
      <c r="AO66" s="38"/>
    </row>
    <row r="67" spans="1:41" x14ac:dyDescent="0.45">
      <c r="A67" s="35" t="s">
        <v>510</v>
      </c>
      <c r="B67" s="6">
        <v>45957</v>
      </c>
      <c r="C67" s="7">
        <v>2025</v>
      </c>
      <c r="D67" s="5" t="s">
        <v>105</v>
      </c>
      <c r="E67" s="5" t="s">
        <v>25</v>
      </c>
      <c r="F67" s="5" t="s">
        <v>25</v>
      </c>
      <c r="G67" s="5" t="s">
        <v>51</v>
      </c>
      <c r="H67" s="5" t="s">
        <v>124</v>
      </c>
      <c r="I67" s="5" t="s">
        <v>10</v>
      </c>
      <c r="J67" s="5" t="s">
        <v>316</v>
      </c>
      <c r="K67" s="5" t="s">
        <v>317</v>
      </c>
      <c r="L67" s="5" t="s">
        <v>318</v>
      </c>
      <c r="M67" s="5" t="s">
        <v>319</v>
      </c>
      <c r="N67" s="5" t="s">
        <v>320</v>
      </c>
      <c r="O67" s="8" t="s">
        <v>511</v>
      </c>
      <c r="P67" s="8" t="s">
        <v>112</v>
      </c>
      <c r="Q67" s="5" t="s">
        <v>1546</v>
      </c>
      <c r="R67" s="8" t="s">
        <v>512</v>
      </c>
      <c r="S67" s="9" t="s">
        <v>1488</v>
      </c>
      <c r="T67" s="8" t="s">
        <v>323</v>
      </c>
      <c r="U67" s="8" t="s">
        <v>323</v>
      </c>
      <c r="V67" s="8" t="s">
        <v>323</v>
      </c>
      <c r="W67" s="8" t="s">
        <v>323</v>
      </c>
      <c r="X67" s="10"/>
      <c r="Y67" s="8">
        <v>1879</v>
      </c>
      <c r="Z67" s="8" t="s">
        <v>117</v>
      </c>
      <c r="AA67" s="5" t="s">
        <v>48</v>
      </c>
      <c r="AB67" s="5" t="s">
        <v>1483</v>
      </c>
      <c r="AC67" s="12"/>
      <c r="AD67" s="5"/>
      <c r="AE67" s="8" t="s">
        <v>9</v>
      </c>
      <c r="AF67" s="11"/>
      <c r="AG67" s="5"/>
      <c r="AH67" s="8"/>
      <c r="AI67" s="8" t="s">
        <v>1</v>
      </c>
      <c r="AJ67" s="9"/>
      <c r="AK67" s="11">
        <v>45979</v>
      </c>
      <c r="AL67" s="9" t="s">
        <v>323</v>
      </c>
      <c r="AM67" s="9" t="s">
        <v>17</v>
      </c>
      <c r="AN67" s="11">
        <v>45989</v>
      </c>
      <c r="AO67" s="38"/>
    </row>
    <row r="68" spans="1:41" x14ac:dyDescent="0.45">
      <c r="A68" s="35" t="s">
        <v>513</v>
      </c>
      <c r="B68" s="6">
        <v>45957</v>
      </c>
      <c r="C68" s="7">
        <v>2025</v>
      </c>
      <c r="D68" s="5" t="s">
        <v>105</v>
      </c>
      <c r="E68" s="5" t="s">
        <v>25</v>
      </c>
      <c r="F68" s="5" t="s">
        <v>25</v>
      </c>
      <c r="G68" s="5" t="s">
        <v>51</v>
      </c>
      <c r="H68" s="5" t="s">
        <v>124</v>
      </c>
      <c r="I68" s="5" t="s">
        <v>10</v>
      </c>
      <c r="J68" s="5" t="s">
        <v>316</v>
      </c>
      <c r="K68" s="5" t="s">
        <v>317</v>
      </c>
      <c r="L68" s="5" t="s">
        <v>318</v>
      </c>
      <c r="M68" s="5" t="s">
        <v>319</v>
      </c>
      <c r="N68" s="5" t="s">
        <v>320</v>
      </c>
      <c r="O68" s="8" t="s">
        <v>112</v>
      </c>
      <c r="P68" s="8" t="s">
        <v>112</v>
      </c>
      <c r="Q68" s="5" t="s">
        <v>1547</v>
      </c>
      <c r="R68" s="8" t="s">
        <v>514</v>
      </c>
      <c r="S68" s="9" t="s">
        <v>1489</v>
      </c>
      <c r="T68" s="8" t="s">
        <v>323</v>
      </c>
      <c r="U68" s="8" t="s">
        <v>323</v>
      </c>
      <c r="V68" s="8" t="s">
        <v>323</v>
      </c>
      <c r="W68" s="8" t="s">
        <v>323</v>
      </c>
      <c r="X68" s="10"/>
      <c r="Y68" s="8">
        <v>2591</v>
      </c>
      <c r="Z68" s="8" t="s">
        <v>117</v>
      </c>
      <c r="AA68" s="5" t="s">
        <v>48</v>
      </c>
      <c r="AB68" s="5" t="s">
        <v>1483</v>
      </c>
      <c r="AC68" s="12"/>
      <c r="AD68" s="5"/>
      <c r="AE68" s="8" t="s">
        <v>9</v>
      </c>
      <c r="AF68" s="11"/>
      <c r="AG68" s="5"/>
      <c r="AH68" s="8"/>
      <c r="AI68" s="8" t="s">
        <v>1</v>
      </c>
      <c r="AJ68" s="9"/>
      <c r="AK68" s="11">
        <v>45979</v>
      </c>
      <c r="AL68" s="9" t="s">
        <v>323</v>
      </c>
      <c r="AM68" s="9" t="s">
        <v>17</v>
      </c>
      <c r="AN68" s="11">
        <v>45989</v>
      </c>
      <c r="AO68" s="38"/>
    </row>
    <row r="69" spans="1:41" x14ac:dyDescent="0.45">
      <c r="A69" s="35" t="s">
        <v>515</v>
      </c>
      <c r="B69" s="6">
        <v>45957</v>
      </c>
      <c r="C69" s="7">
        <v>2025</v>
      </c>
      <c r="D69" s="5" t="s">
        <v>105</v>
      </c>
      <c r="E69" s="5" t="s">
        <v>25</v>
      </c>
      <c r="F69" s="5" t="s">
        <v>25</v>
      </c>
      <c r="G69" s="5" t="s">
        <v>51</v>
      </c>
      <c r="H69" s="5" t="s">
        <v>124</v>
      </c>
      <c r="I69" s="5" t="s">
        <v>10</v>
      </c>
      <c r="J69" s="5" t="s">
        <v>316</v>
      </c>
      <c r="K69" s="5" t="s">
        <v>317</v>
      </c>
      <c r="L69" s="5" t="s">
        <v>318</v>
      </c>
      <c r="M69" s="5" t="s">
        <v>319</v>
      </c>
      <c r="N69" s="5" t="s">
        <v>320</v>
      </c>
      <c r="O69" s="8" t="s">
        <v>112</v>
      </c>
      <c r="P69" s="8" t="s">
        <v>112</v>
      </c>
      <c r="Q69" s="5" t="s">
        <v>1548</v>
      </c>
      <c r="R69" s="8" t="s">
        <v>516</v>
      </c>
      <c r="S69" s="9" t="s">
        <v>1490</v>
      </c>
      <c r="T69" s="8" t="s">
        <v>323</v>
      </c>
      <c r="U69" s="8" t="s">
        <v>323</v>
      </c>
      <c r="V69" s="8" t="s">
        <v>323</v>
      </c>
      <c r="W69" s="8" t="s">
        <v>323</v>
      </c>
      <c r="X69" s="10"/>
      <c r="Y69" s="8">
        <v>2735</v>
      </c>
      <c r="Z69" s="8" t="s">
        <v>117</v>
      </c>
      <c r="AA69" s="5" t="s">
        <v>48</v>
      </c>
      <c r="AB69" s="5" t="s">
        <v>1483</v>
      </c>
      <c r="AC69" s="12"/>
      <c r="AD69" s="5"/>
      <c r="AE69" s="8" t="s">
        <v>9</v>
      </c>
      <c r="AF69" s="11"/>
      <c r="AG69" s="5"/>
      <c r="AH69" s="8"/>
      <c r="AI69" s="8" t="s">
        <v>1</v>
      </c>
      <c r="AJ69" s="9"/>
      <c r="AK69" s="11">
        <v>45979</v>
      </c>
      <c r="AL69" s="9" t="s">
        <v>323</v>
      </c>
      <c r="AM69" s="9" t="s">
        <v>17</v>
      </c>
      <c r="AN69" s="11">
        <v>45989</v>
      </c>
      <c r="AO69" s="38"/>
    </row>
    <row r="70" spans="1:41" x14ac:dyDescent="0.45">
      <c r="A70" s="35" t="s">
        <v>517</v>
      </c>
      <c r="B70" s="6">
        <v>45957</v>
      </c>
      <c r="C70" s="7">
        <v>2025</v>
      </c>
      <c r="D70" s="5" t="s">
        <v>105</v>
      </c>
      <c r="E70" s="5" t="s">
        <v>25</v>
      </c>
      <c r="F70" s="5" t="s">
        <v>25</v>
      </c>
      <c r="G70" s="5" t="s">
        <v>51</v>
      </c>
      <c r="H70" s="5" t="s">
        <v>124</v>
      </c>
      <c r="I70" s="5" t="s">
        <v>10</v>
      </c>
      <c r="J70" s="5" t="s">
        <v>316</v>
      </c>
      <c r="K70" s="5" t="s">
        <v>317</v>
      </c>
      <c r="L70" s="5" t="s">
        <v>318</v>
      </c>
      <c r="M70" s="5" t="s">
        <v>319</v>
      </c>
      <c r="N70" s="5" t="s">
        <v>320</v>
      </c>
      <c r="O70" s="8" t="s">
        <v>518</v>
      </c>
      <c r="P70" s="8" t="s">
        <v>112</v>
      </c>
      <c r="Q70" s="5" t="s">
        <v>1549</v>
      </c>
      <c r="R70" s="8" t="s">
        <v>519</v>
      </c>
      <c r="S70" s="9" t="s">
        <v>1491</v>
      </c>
      <c r="T70" s="8" t="s">
        <v>323</v>
      </c>
      <c r="U70" s="8" t="s">
        <v>323</v>
      </c>
      <c r="V70" s="8" t="s">
        <v>323</v>
      </c>
      <c r="W70" s="8" t="s">
        <v>323</v>
      </c>
      <c r="X70" s="10"/>
      <c r="Y70" s="8">
        <v>3093</v>
      </c>
      <c r="Z70" s="8" t="s">
        <v>117</v>
      </c>
      <c r="AA70" s="5" t="s">
        <v>48</v>
      </c>
      <c r="AB70" s="5" t="s">
        <v>1483</v>
      </c>
      <c r="AC70" s="12"/>
      <c r="AD70" s="5"/>
      <c r="AE70" s="8" t="s">
        <v>9</v>
      </c>
      <c r="AF70" s="11"/>
      <c r="AG70" s="5"/>
      <c r="AH70" s="8"/>
      <c r="AI70" s="8" t="s">
        <v>1</v>
      </c>
      <c r="AJ70" s="9"/>
      <c r="AK70" s="11">
        <v>45979</v>
      </c>
      <c r="AL70" s="9" t="s">
        <v>323</v>
      </c>
      <c r="AM70" s="9" t="s">
        <v>17</v>
      </c>
      <c r="AN70" s="11">
        <v>45989</v>
      </c>
      <c r="AO70" s="38"/>
    </row>
    <row r="71" spans="1:41" x14ac:dyDescent="0.45">
      <c r="A71" s="35" t="s">
        <v>520</v>
      </c>
      <c r="B71" s="6">
        <v>45957</v>
      </c>
      <c r="C71" s="7">
        <v>2025</v>
      </c>
      <c r="D71" s="5" t="s">
        <v>105</v>
      </c>
      <c r="E71" s="5" t="s">
        <v>25</v>
      </c>
      <c r="F71" s="5" t="s">
        <v>25</v>
      </c>
      <c r="G71" s="5" t="s">
        <v>51</v>
      </c>
      <c r="H71" s="5" t="s">
        <v>124</v>
      </c>
      <c r="I71" s="5" t="s">
        <v>10</v>
      </c>
      <c r="J71" s="5" t="s">
        <v>316</v>
      </c>
      <c r="K71" s="5" t="s">
        <v>317</v>
      </c>
      <c r="L71" s="5" t="s">
        <v>318</v>
      </c>
      <c r="M71" s="5" t="s">
        <v>319</v>
      </c>
      <c r="N71" s="5" t="s">
        <v>320</v>
      </c>
      <c r="O71" s="8" t="s">
        <v>112</v>
      </c>
      <c r="P71" s="8" t="s">
        <v>112</v>
      </c>
      <c r="Q71" s="5" t="s">
        <v>1550</v>
      </c>
      <c r="R71" s="8" t="s">
        <v>521</v>
      </c>
      <c r="S71" s="9" t="s">
        <v>1492</v>
      </c>
      <c r="T71" s="8" t="s">
        <v>323</v>
      </c>
      <c r="U71" s="8" t="s">
        <v>323</v>
      </c>
      <c r="V71" s="8" t="s">
        <v>323</v>
      </c>
      <c r="W71" s="8" t="s">
        <v>323</v>
      </c>
      <c r="X71" s="10"/>
      <c r="Y71" s="8">
        <v>1811</v>
      </c>
      <c r="Z71" s="8" t="s">
        <v>117</v>
      </c>
      <c r="AA71" s="5" t="s">
        <v>48</v>
      </c>
      <c r="AB71" s="5" t="s">
        <v>1483</v>
      </c>
      <c r="AC71" s="12"/>
      <c r="AD71" s="5"/>
      <c r="AE71" s="8" t="s">
        <v>9</v>
      </c>
      <c r="AF71" s="11"/>
      <c r="AG71" s="5"/>
      <c r="AH71" s="8"/>
      <c r="AI71" s="8" t="s">
        <v>1</v>
      </c>
      <c r="AJ71" s="9"/>
      <c r="AK71" s="11">
        <v>45979</v>
      </c>
      <c r="AL71" s="9" t="s">
        <v>323</v>
      </c>
      <c r="AM71" s="9" t="s">
        <v>17</v>
      </c>
      <c r="AN71" s="11">
        <v>45989</v>
      </c>
      <c r="AO71" s="38"/>
    </row>
    <row r="72" spans="1:41" x14ac:dyDescent="0.45">
      <c r="A72" s="35" t="s">
        <v>522</v>
      </c>
      <c r="B72" s="6">
        <v>45957</v>
      </c>
      <c r="C72" s="7">
        <v>2025</v>
      </c>
      <c r="D72" s="5" t="s">
        <v>105</v>
      </c>
      <c r="E72" s="5" t="s">
        <v>25</v>
      </c>
      <c r="F72" s="5" t="s">
        <v>25</v>
      </c>
      <c r="G72" s="5" t="s">
        <v>51</v>
      </c>
      <c r="H72" s="5" t="s">
        <v>124</v>
      </c>
      <c r="I72" s="5" t="s">
        <v>10</v>
      </c>
      <c r="J72" s="5" t="s">
        <v>316</v>
      </c>
      <c r="K72" s="5" t="s">
        <v>317</v>
      </c>
      <c r="L72" s="5" t="s">
        <v>318</v>
      </c>
      <c r="M72" s="5" t="s">
        <v>319</v>
      </c>
      <c r="N72" s="5" t="s">
        <v>320</v>
      </c>
      <c r="O72" s="8" t="s">
        <v>408</v>
      </c>
      <c r="P72" s="8" t="s">
        <v>112</v>
      </c>
      <c r="Q72" s="5" t="s">
        <v>1551</v>
      </c>
      <c r="R72" s="8" t="s">
        <v>523</v>
      </c>
      <c r="S72" s="9" t="s">
        <v>1493</v>
      </c>
      <c r="T72" s="8" t="s">
        <v>323</v>
      </c>
      <c r="U72" s="8" t="s">
        <v>323</v>
      </c>
      <c r="V72" s="8" t="s">
        <v>323</v>
      </c>
      <c r="W72" s="8" t="s">
        <v>323</v>
      </c>
      <c r="X72" s="10"/>
      <c r="Y72" s="8">
        <v>2495</v>
      </c>
      <c r="Z72" s="8" t="s">
        <v>117</v>
      </c>
      <c r="AA72" s="5" t="s">
        <v>48</v>
      </c>
      <c r="AB72" s="5" t="s">
        <v>1483</v>
      </c>
      <c r="AC72" s="12"/>
      <c r="AD72" s="5"/>
      <c r="AE72" s="8" t="s">
        <v>9</v>
      </c>
      <c r="AF72" s="11"/>
      <c r="AG72" s="5"/>
      <c r="AH72" s="8"/>
      <c r="AI72" s="8" t="s">
        <v>1</v>
      </c>
      <c r="AJ72" s="9"/>
      <c r="AK72" s="11">
        <v>45979</v>
      </c>
      <c r="AL72" s="9" t="s">
        <v>323</v>
      </c>
      <c r="AM72" s="9" t="s">
        <v>17</v>
      </c>
      <c r="AN72" s="11">
        <v>45989</v>
      </c>
      <c r="AO72" s="38"/>
    </row>
    <row r="73" spans="1:41" x14ac:dyDescent="0.45">
      <c r="A73" s="35" t="s">
        <v>524</v>
      </c>
      <c r="B73" s="6">
        <v>45957</v>
      </c>
      <c r="C73" s="7">
        <v>2025</v>
      </c>
      <c r="D73" s="5" t="s">
        <v>105</v>
      </c>
      <c r="E73" s="5" t="s">
        <v>25</v>
      </c>
      <c r="F73" s="5" t="s">
        <v>25</v>
      </c>
      <c r="G73" s="5" t="s">
        <v>51</v>
      </c>
      <c r="H73" s="5" t="s">
        <v>124</v>
      </c>
      <c r="I73" s="5" t="s">
        <v>10</v>
      </c>
      <c r="J73" s="5" t="s">
        <v>316</v>
      </c>
      <c r="K73" s="5" t="s">
        <v>317</v>
      </c>
      <c r="L73" s="5" t="s">
        <v>318</v>
      </c>
      <c r="M73" s="5" t="s">
        <v>319</v>
      </c>
      <c r="N73" s="5" t="s">
        <v>320</v>
      </c>
      <c r="O73" s="8" t="s">
        <v>408</v>
      </c>
      <c r="P73" s="8" t="s">
        <v>112</v>
      </c>
      <c r="Q73" s="5" t="s">
        <v>1552</v>
      </c>
      <c r="R73" s="8" t="s">
        <v>525</v>
      </c>
      <c r="S73" s="9" t="s">
        <v>1494</v>
      </c>
      <c r="T73" s="8" t="s">
        <v>323</v>
      </c>
      <c r="U73" s="8" t="s">
        <v>323</v>
      </c>
      <c r="V73" s="8" t="s">
        <v>323</v>
      </c>
      <c r="W73" s="8" t="s">
        <v>323</v>
      </c>
      <c r="X73" s="10"/>
      <c r="Y73" s="8">
        <v>2888</v>
      </c>
      <c r="Z73" s="8" t="s">
        <v>117</v>
      </c>
      <c r="AA73" s="5" t="s">
        <v>48</v>
      </c>
      <c r="AB73" s="5" t="s">
        <v>1483</v>
      </c>
      <c r="AC73" s="12"/>
      <c r="AD73" s="5"/>
      <c r="AE73" s="8" t="s">
        <v>9</v>
      </c>
      <c r="AF73" s="11"/>
      <c r="AG73" s="5"/>
      <c r="AH73" s="8"/>
      <c r="AI73" s="8" t="s">
        <v>1</v>
      </c>
      <c r="AJ73" s="9"/>
      <c r="AK73" s="11">
        <v>45979</v>
      </c>
      <c r="AL73" s="9" t="s">
        <v>323</v>
      </c>
      <c r="AM73" s="9" t="s">
        <v>17</v>
      </c>
      <c r="AN73" s="11">
        <v>45989</v>
      </c>
      <c r="AO73" s="38"/>
    </row>
    <row r="74" spans="1:41" x14ac:dyDescent="0.45">
      <c r="A74" s="35" t="s">
        <v>526</v>
      </c>
      <c r="B74" s="6">
        <v>45957</v>
      </c>
      <c r="C74" s="7">
        <v>2025</v>
      </c>
      <c r="D74" s="5" t="s">
        <v>105</v>
      </c>
      <c r="E74" s="5" t="s">
        <v>25</v>
      </c>
      <c r="F74" s="5" t="s">
        <v>25</v>
      </c>
      <c r="G74" s="5" t="s">
        <v>51</v>
      </c>
      <c r="H74" s="5" t="s">
        <v>124</v>
      </c>
      <c r="I74" s="5" t="s">
        <v>10</v>
      </c>
      <c r="J74" s="5" t="s">
        <v>316</v>
      </c>
      <c r="K74" s="5" t="s">
        <v>317</v>
      </c>
      <c r="L74" s="5" t="s">
        <v>318</v>
      </c>
      <c r="M74" s="5" t="s">
        <v>319</v>
      </c>
      <c r="N74" s="5" t="s">
        <v>320</v>
      </c>
      <c r="O74" s="8" t="s">
        <v>408</v>
      </c>
      <c r="P74" s="8" t="s">
        <v>112</v>
      </c>
      <c r="Q74" s="5" t="s">
        <v>1553</v>
      </c>
      <c r="R74" s="8" t="s">
        <v>527</v>
      </c>
      <c r="S74" s="9" t="s">
        <v>1495</v>
      </c>
      <c r="T74" s="8" t="s">
        <v>323</v>
      </c>
      <c r="U74" s="8" t="s">
        <v>323</v>
      </c>
      <c r="V74" s="8" t="s">
        <v>323</v>
      </c>
      <c r="W74" s="8" t="s">
        <v>323</v>
      </c>
      <c r="X74" s="10"/>
      <c r="Y74" s="8">
        <v>1806</v>
      </c>
      <c r="Z74" s="8" t="s">
        <v>117</v>
      </c>
      <c r="AA74" s="5" t="s">
        <v>48</v>
      </c>
      <c r="AB74" s="5" t="s">
        <v>1483</v>
      </c>
      <c r="AC74" s="12"/>
      <c r="AD74" s="5"/>
      <c r="AE74" s="8" t="s">
        <v>9</v>
      </c>
      <c r="AF74" s="11"/>
      <c r="AG74" s="5"/>
      <c r="AH74" s="8"/>
      <c r="AI74" s="8" t="s">
        <v>1</v>
      </c>
      <c r="AJ74" s="9"/>
      <c r="AK74" s="11">
        <v>45979</v>
      </c>
      <c r="AL74" s="9" t="s">
        <v>323</v>
      </c>
      <c r="AM74" s="9" t="s">
        <v>17</v>
      </c>
      <c r="AN74" s="11">
        <v>45989</v>
      </c>
      <c r="AO74" s="38"/>
    </row>
    <row r="75" spans="1:41" x14ac:dyDescent="0.45">
      <c r="A75" s="35" t="s">
        <v>528</v>
      </c>
      <c r="B75" s="6">
        <v>45957</v>
      </c>
      <c r="C75" s="7">
        <v>2025</v>
      </c>
      <c r="D75" s="5" t="s">
        <v>105</v>
      </c>
      <c r="E75" s="5" t="s">
        <v>25</v>
      </c>
      <c r="F75" s="5" t="s">
        <v>25</v>
      </c>
      <c r="G75" s="5" t="s">
        <v>51</v>
      </c>
      <c r="H75" s="5" t="s">
        <v>124</v>
      </c>
      <c r="I75" s="5" t="s">
        <v>10</v>
      </c>
      <c r="J75" s="5" t="s">
        <v>316</v>
      </c>
      <c r="K75" s="5" t="s">
        <v>317</v>
      </c>
      <c r="L75" s="5" t="s">
        <v>318</v>
      </c>
      <c r="M75" s="5" t="s">
        <v>319</v>
      </c>
      <c r="N75" s="5" t="s">
        <v>320</v>
      </c>
      <c r="O75" s="8" t="s">
        <v>529</v>
      </c>
      <c r="P75" s="8" t="s">
        <v>112</v>
      </c>
      <c r="Q75" s="5" t="s">
        <v>1554</v>
      </c>
      <c r="R75" s="8" t="s">
        <v>530</v>
      </c>
      <c r="S75" s="9" t="s">
        <v>1496</v>
      </c>
      <c r="T75" s="8" t="s">
        <v>323</v>
      </c>
      <c r="U75" s="8" t="s">
        <v>323</v>
      </c>
      <c r="V75" s="8" t="s">
        <v>323</v>
      </c>
      <c r="W75" s="8" t="s">
        <v>323</v>
      </c>
      <c r="X75" s="10"/>
      <c r="Y75" s="8">
        <v>1473</v>
      </c>
      <c r="Z75" s="8" t="s">
        <v>117</v>
      </c>
      <c r="AA75" s="5" t="s">
        <v>48</v>
      </c>
      <c r="AB75" s="5" t="s">
        <v>1483</v>
      </c>
      <c r="AC75" s="12"/>
      <c r="AD75" s="5"/>
      <c r="AE75" s="8" t="s">
        <v>9</v>
      </c>
      <c r="AF75" s="11"/>
      <c r="AG75" s="5"/>
      <c r="AH75" s="8"/>
      <c r="AI75" s="8" t="s">
        <v>1</v>
      </c>
      <c r="AJ75" s="9"/>
      <c r="AK75" s="11">
        <v>45979</v>
      </c>
      <c r="AL75" s="9" t="s">
        <v>323</v>
      </c>
      <c r="AM75" s="9" t="s">
        <v>17</v>
      </c>
      <c r="AN75" s="11">
        <v>45989</v>
      </c>
      <c r="AO75" s="38"/>
    </row>
    <row r="76" spans="1:41" x14ac:dyDescent="0.45">
      <c r="A76" s="35" t="s">
        <v>531</v>
      </c>
      <c r="B76" s="6">
        <v>45957</v>
      </c>
      <c r="C76" s="7">
        <v>2025</v>
      </c>
      <c r="D76" s="5" t="s">
        <v>105</v>
      </c>
      <c r="E76" s="5" t="s">
        <v>25</v>
      </c>
      <c r="F76" s="5" t="s">
        <v>25</v>
      </c>
      <c r="G76" s="5" t="s">
        <v>51</v>
      </c>
      <c r="H76" s="5" t="s">
        <v>124</v>
      </c>
      <c r="I76" s="5" t="s">
        <v>10</v>
      </c>
      <c r="J76" s="5" t="s">
        <v>316</v>
      </c>
      <c r="K76" s="5" t="s">
        <v>317</v>
      </c>
      <c r="L76" s="5" t="s">
        <v>318</v>
      </c>
      <c r="M76" s="5" t="s">
        <v>319</v>
      </c>
      <c r="N76" s="5" t="s">
        <v>320</v>
      </c>
      <c r="O76" s="8" t="s">
        <v>112</v>
      </c>
      <c r="P76" s="8" t="s">
        <v>112</v>
      </c>
      <c r="Q76" s="5" t="s">
        <v>1555</v>
      </c>
      <c r="R76" s="8" t="s">
        <v>532</v>
      </c>
      <c r="S76" s="9" t="s">
        <v>1497</v>
      </c>
      <c r="T76" s="8" t="s">
        <v>323</v>
      </c>
      <c r="U76" s="8" t="s">
        <v>323</v>
      </c>
      <c r="V76" s="8" t="s">
        <v>323</v>
      </c>
      <c r="W76" s="8" t="s">
        <v>323</v>
      </c>
      <c r="X76" s="10"/>
      <c r="Y76" s="8">
        <v>1332</v>
      </c>
      <c r="Z76" s="8" t="s">
        <v>117</v>
      </c>
      <c r="AA76" s="5" t="s">
        <v>48</v>
      </c>
      <c r="AB76" s="5" t="s">
        <v>1483</v>
      </c>
      <c r="AC76" s="12"/>
      <c r="AD76" s="5"/>
      <c r="AE76" s="8" t="s">
        <v>9</v>
      </c>
      <c r="AF76" s="11"/>
      <c r="AG76" s="5"/>
      <c r="AH76" s="8"/>
      <c r="AI76" s="8" t="s">
        <v>1</v>
      </c>
      <c r="AJ76" s="9"/>
      <c r="AK76" s="11">
        <v>45979</v>
      </c>
      <c r="AL76" s="9" t="s">
        <v>323</v>
      </c>
      <c r="AM76" s="9" t="s">
        <v>17</v>
      </c>
      <c r="AN76" s="11">
        <v>45989</v>
      </c>
      <c r="AO76" s="38"/>
    </row>
    <row r="77" spans="1:41" x14ac:dyDescent="0.45">
      <c r="A77" s="35" t="s">
        <v>533</v>
      </c>
      <c r="B77" s="6">
        <v>45957</v>
      </c>
      <c r="C77" s="7">
        <v>2025</v>
      </c>
      <c r="D77" s="5" t="s">
        <v>105</v>
      </c>
      <c r="E77" s="5" t="s">
        <v>25</v>
      </c>
      <c r="F77" s="5" t="s">
        <v>25</v>
      </c>
      <c r="G77" s="5" t="s">
        <v>51</v>
      </c>
      <c r="H77" s="5" t="s">
        <v>124</v>
      </c>
      <c r="I77" s="5" t="s">
        <v>10</v>
      </c>
      <c r="J77" s="5" t="s">
        <v>316</v>
      </c>
      <c r="K77" s="5" t="s">
        <v>317</v>
      </c>
      <c r="L77" s="5" t="s">
        <v>318</v>
      </c>
      <c r="M77" s="5" t="s">
        <v>319</v>
      </c>
      <c r="N77" s="5" t="s">
        <v>320</v>
      </c>
      <c r="O77" s="8" t="s">
        <v>534</v>
      </c>
      <c r="P77" s="8" t="s">
        <v>112</v>
      </c>
      <c r="Q77" s="5" t="s">
        <v>1556</v>
      </c>
      <c r="R77" s="8" t="s">
        <v>535</v>
      </c>
      <c r="S77" s="9" t="s">
        <v>1498</v>
      </c>
      <c r="T77" s="8" t="s">
        <v>323</v>
      </c>
      <c r="U77" s="8" t="s">
        <v>323</v>
      </c>
      <c r="V77" s="8" t="s">
        <v>323</v>
      </c>
      <c r="W77" s="8" t="s">
        <v>323</v>
      </c>
      <c r="X77" s="10"/>
      <c r="Y77" s="8">
        <v>2906</v>
      </c>
      <c r="Z77" s="8" t="s">
        <v>117</v>
      </c>
      <c r="AA77" s="5" t="s">
        <v>48</v>
      </c>
      <c r="AB77" s="5" t="s">
        <v>1483</v>
      </c>
      <c r="AC77" s="12"/>
      <c r="AD77" s="5"/>
      <c r="AE77" s="8" t="s">
        <v>9</v>
      </c>
      <c r="AF77" s="11"/>
      <c r="AG77" s="5"/>
      <c r="AH77" s="8"/>
      <c r="AI77" s="8" t="s">
        <v>1</v>
      </c>
      <c r="AJ77" s="9"/>
      <c r="AK77" s="11">
        <v>45979</v>
      </c>
      <c r="AL77" s="9" t="s">
        <v>323</v>
      </c>
      <c r="AM77" s="9" t="s">
        <v>17</v>
      </c>
      <c r="AN77" s="11">
        <v>45989</v>
      </c>
      <c r="AO77" s="38"/>
    </row>
    <row r="78" spans="1:41" x14ac:dyDescent="0.45">
      <c r="A78" s="35" t="s">
        <v>536</v>
      </c>
      <c r="B78" s="6">
        <v>45957</v>
      </c>
      <c r="C78" s="7">
        <v>2025</v>
      </c>
      <c r="D78" s="5" t="s">
        <v>105</v>
      </c>
      <c r="E78" s="5" t="s">
        <v>25</v>
      </c>
      <c r="F78" s="5" t="s">
        <v>25</v>
      </c>
      <c r="G78" s="5" t="s">
        <v>51</v>
      </c>
      <c r="H78" s="5" t="s">
        <v>124</v>
      </c>
      <c r="I78" s="5" t="s">
        <v>10</v>
      </c>
      <c r="J78" s="5" t="s">
        <v>316</v>
      </c>
      <c r="K78" s="5" t="s">
        <v>317</v>
      </c>
      <c r="L78" s="5" t="s">
        <v>318</v>
      </c>
      <c r="M78" s="5" t="s">
        <v>319</v>
      </c>
      <c r="N78" s="5" t="s">
        <v>320</v>
      </c>
      <c r="O78" s="8" t="s">
        <v>537</v>
      </c>
      <c r="P78" s="8" t="s">
        <v>112</v>
      </c>
      <c r="Q78" s="5" t="s">
        <v>1557</v>
      </c>
      <c r="R78" s="8" t="s">
        <v>538</v>
      </c>
      <c r="S78" s="9" t="s">
        <v>1499</v>
      </c>
      <c r="T78" s="8" t="s">
        <v>323</v>
      </c>
      <c r="U78" s="8" t="s">
        <v>323</v>
      </c>
      <c r="V78" s="8" t="s">
        <v>323</v>
      </c>
      <c r="W78" s="8" t="s">
        <v>323</v>
      </c>
      <c r="X78" s="10"/>
      <c r="Y78" s="8" t="s">
        <v>323</v>
      </c>
      <c r="Z78" s="8" t="s">
        <v>117</v>
      </c>
      <c r="AA78" s="5" t="s">
        <v>48</v>
      </c>
      <c r="AB78" s="5" t="s">
        <v>1483</v>
      </c>
      <c r="AC78" s="12"/>
      <c r="AD78" s="5"/>
      <c r="AE78" s="8" t="s">
        <v>9</v>
      </c>
      <c r="AF78" s="11"/>
      <c r="AG78" s="5"/>
      <c r="AH78" s="8"/>
      <c r="AI78" s="8" t="s">
        <v>1</v>
      </c>
      <c r="AJ78" s="9"/>
      <c r="AK78" s="11">
        <v>45979</v>
      </c>
      <c r="AL78" s="9" t="s">
        <v>323</v>
      </c>
      <c r="AM78" s="9" t="s">
        <v>17</v>
      </c>
      <c r="AN78" s="11">
        <v>45989</v>
      </c>
      <c r="AO78" s="38"/>
    </row>
    <row r="79" spans="1:41" x14ac:dyDescent="0.45">
      <c r="A79" s="35" t="s">
        <v>539</v>
      </c>
      <c r="B79" s="6">
        <v>45957</v>
      </c>
      <c r="C79" s="7">
        <v>2025</v>
      </c>
      <c r="D79" s="5" t="s">
        <v>105</v>
      </c>
      <c r="E79" s="5" t="s">
        <v>25</v>
      </c>
      <c r="F79" s="5" t="s">
        <v>25</v>
      </c>
      <c r="G79" s="5" t="s">
        <v>51</v>
      </c>
      <c r="H79" s="5" t="s">
        <v>124</v>
      </c>
      <c r="I79" s="5" t="s">
        <v>10</v>
      </c>
      <c r="J79" s="5" t="s">
        <v>316</v>
      </c>
      <c r="K79" s="5" t="s">
        <v>317</v>
      </c>
      <c r="L79" s="5" t="s">
        <v>318</v>
      </c>
      <c r="M79" s="5" t="s">
        <v>319</v>
      </c>
      <c r="N79" s="5" t="s">
        <v>320</v>
      </c>
      <c r="O79" s="8" t="s">
        <v>540</v>
      </c>
      <c r="P79" s="8" t="s">
        <v>112</v>
      </c>
      <c r="Q79" s="5" t="s">
        <v>1558</v>
      </c>
      <c r="R79" s="8" t="s">
        <v>541</v>
      </c>
      <c r="S79" s="9" t="s">
        <v>1500</v>
      </c>
      <c r="T79" s="8" t="s">
        <v>323</v>
      </c>
      <c r="U79" s="8" t="s">
        <v>323</v>
      </c>
      <c r="V79" s="8" t="s">
        <v>323</v>
      </c>
      <c r="W79" s="8" t="s">
        <v>323</v>
      </c>
      <c r="X79" s="10"/>
      <c r="Y79" s="8" t="s">
        <v>323</v>
      </c>
      <c r="Z79" s="8" t="s">
        <v>117</v>
      </c>
      <c r="AA79" s="5" t="s">
        <v>48</v>
      </c>
      <c r="AB79" s="5" t="s">
        <v>1483</v>
      </c>
      <c r="AC79" s="12"/>
      <c r="AD79" s="5"/>
      <c r="AE79" s="8" t="s">
        <v>9</v>
      </c>
      <c r="AF79" s="11"/>
      <c r="AG79" s="5"/>
      <c r="AH79" s="8"/>
      <c r="AI79" s="8" t="s">
        <v>1</v>
      </c>
      <c r="AJ79" s="9"/>
      <c r="AK79" s="11">
        <v>45979</v>
      </c>
      <c r="AL79" s="9" t="s">
        <v>323</v>
      </c>
      <c r="AM79" s="9" t="s">
        <v>17</v>
      </c>
      <c r="AN79" s="11">
        <v>45989</v>
      </c>
      <c r="AO79" s="38"/>
    </row>
    <row r="80" spans="1:41" x14ac:dyDescent="0.45">
      <c r="A80" s="35" t="s">
        <v>542</v>
      </c>
      <c r="B80" s="6">
        <v>45957</v>
      </c>
      <c r="C80" s="7">
        <v>2025</v>
      </c>
      <c r="D80" s="5" t="s">
        <v>105</v>
      </c>
      <c r="E80" s="5" t="s">
        <v>25</v>
      </c>
      <c r="F80" s="5" t="s">
        <v>25</v>
      </c>
      <c r="G80" s="5" t="s">
        <v>51</v>
      </c>
      <c r="H80" s="5" t="s">
        <v>124</v>
      </c>
      <c r="I80" s="5" t="s">
        <v>10</v>
      </c>
      <c r="J80" s="5" t="s">
        <v>316</v>
      </c>
      <c r="K80" s="5" t="s">
        <v>317</v>
      </c>
      <c r="L80" s="5" t="s">
        <v>318</v>
      </c>
      <c r="M80" s="5" t="s">
        <v>319</v>
      </c>
      <c r="N80" s="5" t="s">
        <v>320</v>
      </c>
      <c r="O80" s="8" t="s">
        <v>543</v>
      </c>
      <c r="P80" s="8" t="s">
        <v>112</v>
      </c>
      <c r="Q80" s="5" t="s">
        <v>1559</v>
      </c>
      <c r="R80" s="8" t="s">
        <v>544</v>
      </c>
      <c r="S80" s="9" t="s">
        <v>1501</v>
      </c>
      <c r="T80" s="8" t="s">
        <v>323</v>
      </c>
      <c r="U80" s="8" t="s">
        <v>323</v>
      </c>
      <c r="V80" s="8" t="s">
        <v>323</v>
      </c>
      <c r="W80" s="8" t="s">
        <v>323</v>
      </c>
      <c r="X80" s="10"/>
      <c r="Y80" s="8" t="s">
        <v>323</v>
      </c>
      <c r="Z80" s="8" t="s">
        <v>117</v>
      </c>
      <c r="AA80" s="5" t="s">
        <v>48</v>
      </c>
      <c r="AB80" s="5" t="s">
        <v>1483</v>
      </c>
      <c r="AC80" s="12"/>
      <c r="AD80" s="5"/>
      <c r="AE80" s="8" t="s">
        <v>9</v>
      </c>
      <c r="AF80" s="11"/>
      <c r="AG80" s="5"/>
      <c r="AH80" s="8"/>
      <c r="AI80" s="8" t="s">
        <v>1</v>
      </c>
      <c r="AJ80" s="9"/>
      <c r="AK80" s="11">
        <v>45979</v>
      </c>
      <c r="AL80" s="9" t="s">
        <v>323</v>
      </c>
      <c r="AM80" s="9" t="s">
        <v>17</v>
      </c>
      <c r="AN80" s="11">
        <v>45989</v>
      </c>
      <c r="AO80" s="38"/>
    </row>
    <row r="81" spans="1:41" x14ac:dyDescent="0.45">
      <c r="A81" s="35" t="s">
        <v>545</v>
      </c>
      <c r="B81" s="6">
        <v>45957</v>
      </c>
      <c r="C81" s="7">
        <v>2025</v>
      </c>
      <c r="D81" s="5" t="s">
        <v>105</v>
      </c>
      <c r="E81" s="5" t="s">
        <v>25</v>
      </c>
      <c r="F81" s="5" t="s">
        <v>25</v>
      </c>
      <c r="G81" s="5" t="s">
        <v>51</v>
      </c>
      <c r="H81" s="5" t="s">
        <v>124</v>
      </c>
      <c r="I81" s="5" t="s">
        <v>10</v>
      </c>
      <c r="J81" s="5" t="s">
        <v>316</v>
      </c>
      <c r="K81" s="5" t="s">
        <v>317</v>
      </c>
      <c r="L81" s="5" t="s">
        <v>318</v>
      </c>
      <c r="M81" s="5" t="s">
        <v>319</v>
      </c>
      <c r="N81" s="5" t="s">
        <v>320</v>
      </c>
      <c r="O81" s="8" t="s">
        <v>446</v>
      </c>
      <c r="P81" s="8" t="s">
        <v>112</v>
      </c>
      <c r="Q81" s="5" t="s">
        <v>1560</v>
      </c>
      <c r="R81" s="8" t="s">
        <v>546</v>
      </c>
      <c r="S81" s="9" t="s">
        <v>1502</v>
      </c>
      <c r="T81" s="8" t="s">
        <v>323</v>
      </c>
      <c r="U81" s="8" t="s">
        <v>323</v>
      </c>
      <c r="V81" s="8" t="s">
        <v>323</v>
      </c>
      <c r="W81" s="8" t="s">
        <v>323</v>
      </c>
      <c r="X81" s="10"/>
      <c r="Y81" s="8" t="s">
        <v>323</v>
      </c>
      <c r="Z81" s="8" t="s">
        <v>117</v>
      </c>
      <c r="AA81" s="5" t="s">
        <v>48</v>
      </c>
      <c r="AB81" s="5" t="s">
        <v>1483</v>
      </c>
      <c r="AC81" s="12"/>
      <c r="AD81" s="5"/>
      <c r="AE81" s="8" t="s">
        <v>9</v>
      </c>
      <c r="AF81" s="11"/>
      <c r="AG81" s="5"/>
      <c r="AH81" s="8"/>
      <c r="AI81" s="8" t="s">
        <v>1</v>
      </c>
      <c r="AJ81" s="9"/>
      <c r="AK81" s="11">
        <v>45979</v>
      </c>
      <c r="AL81" s="9" t="s">
        <v>323</v>
      </c>
      <c r="AM81" s="9" t="s">
        <v>17</v>
      </c>
      <c r="AN81" s="11">
        <v>45989</v>
      </c>
      <c r="AO81" s="38"/>
    </row>
    <row r="82" spans="1:41" x14ac:dyDescent="0.45">
      <c r="A82" s="35" t="s">
        <v>547</v>
      </c>
      <c r="B82" s="6">
        <v>45901</v>
      </c>
      <c r="C82" s="7">
        <v>2025</v>
      </c>
      <c r="D82" s="5" t="s">
        <v>105</v>
      </c>
      <c r="E82" s="5" t="s">
        <v>24</v>
      </c>
      <c r="F82" s="5" t="s">
        <v>123</v>
      </c>
      <c r="G82" s="5" t="s">
        <v>50</v>
      </c>
      <c r="H82" s="5" t="s">
        <v>9</v>
      </c>
      <c r="I82" s="5" t="s">
        <v>10</v>
      </c>
      <c r="J82" s="5" t="s">
        <v>548</v>
      </c>
      <c r="K82" s="5" t="s">
        <v>549</v>
      </c>
      <c r="L82" s="5" t="s">
        <v>388</v>
      </c>
      <c r="M82" s="5" t="s">
        <v>550</v>
      </c>
      <c r="N82" s="5" t="s">
        <v>228</v>
      </c>
      <c r="O82" s="8" t="s">
        <v>43</v>
      </c>
      <c r="P82" s="8" t="s">
        <v>112</v>
      </c>
      <c r="Q82" s="5" t="s">
        <v>551</v>
      </c>
      <c r="R82" s="8" t="s">
        <v>552</v>
      </c>
      <c r="S82" s="9" t="s">
        <v>553</v>
      </c>
      <c r="T82" s="8">
        <v>0.86</v>
      </c>
      <c r="U82" s="8" t="s">
        <v>116</v>
      </c>
      <c r="V82" s="8">
        <v>0.86</v>
      </c>
      <c r="W82" s="8">
        <v>12.2</v>
      </c>
      <c r="X82" s="10">
        <v>0.92950819672131146</v>
      </c>
      <c r="Y82" s="8">
        <v>50000</v>
      </c>
      <c r="Z82" s="8" t="s">
        <v>117</v>
      </c>
      <c r="AA82" s="5" t="s">
        <v>33</v>
      </c>
      <c r="AB82" s="5" t="s">
        <v>554</v>
      </c>
      <c r="AC82" s="12"/>
      <c r="AD82" s="5"/>
      <c r="AE82" s="8" t="s">
        <v>9</v>
      </c>
      <c r="AF82" s="11"/>
      <c r="AG82" s="5"/>
      <c r="AH82" s="8"/>
      <c r="AI82" s="8" t="s">
        <v>1</v>
      </c>
      <c r="AJ82" s="9"/>
      <c r="AK82" s="11">
        <v>46008</v>
      </c>
      <c r="AL82" s="13"/>
      <c r="AM82" s="9" t="s">
        <v>17</v>
      </c>
      <c r="AN82" s="11">
        <v>46018</v>
      </c>
      <c r="AO82" s="38"/>
    </row>
    <row r="83" spans="1:41" x14ac:dyDescent="0.45">
      <c r="A83" s="35" t="s">
        <v>555</v>
      </c>
      <c r="B83" s="6">
        <v>45901</v>
      </c>
      <c r="C83" s="7">
        <v>2025</v>
      </c>
      <c r="D83" s="5" t="s">
        <v>105</v>
      </c>
      <c r="E83" s="5" t="s">
        <v>24</v>
      </c>
      <c r="F83" s="5" t="s">
        <v>123</v>
      </c>
      <c r="G83" s="5" t="s">
        <v>50</v>
      </c>
      <c r="H83" s="5" t="s">
        <v>9</v>
      </c>
      <c r="I83" s="5" t="s">
        <v>10</v>
      </c>
      <c r="J83" s="5" t="s">
        <v>556</v>
      </c>
      <c r="K83" s="5" t="s">
        <v>557</v>
      </c>
      <c r="L83" s="5" t="s">
        <v>149</v>
      </c>
      <c r="M83" s="5" t="s">
        <v>558</v>
      </c>
      <c r="N83" s="5" t="s">
        <v>228</v>
      </c>
      <c r="O83" s="8" t="s">
        <v>43</v>
      </c>
      <c r="P83" s="8" t="s">
        <v>112</v>
      </c>
      <c r="Q83" s="5" t="s">
        <v>559</v>
      </c>
      <c r="R83" s="8" t="s">
        <v>560</v>
      </c>
      <c r="S83" s="9" t="s">
        <v>561</v>
      </c>
      <c r="T83" s="8">
        <v>0.878</v>
      </c>
      <c r="U83" s="8" t="s">
        <v>116</v>
      </c>
      <c r="V83" s="8">
        <v>0.878</v>
      </c>
      <c r="W83" s="8">
        <v>12.2</v>
      </c>
      <c r="X83" s="10">
        <v>0.92803278688524593</v>
      </c>
      <c r="Y83" s="8">
        <v>100000</v>
      </c>
      <c r="Z83" s="8" t="s">
        <v>117</v>
      </c>
      <c r="AA83" s="5" t="s">
        <v>33</v>
      </c>
      <c r="AB83" s="5" t="s">
        <v>554</v>
      </c>
      <c r="AC83" s="12"/>
      <c r="AD83" s="5"/>
      <c r="AE83" s="8" t="s">
        <v>9</v>
      </c>
      <c r="AF83" s="11"/>
      <c r="AG83" s="5"/>
      <c r="AH83" s="8"/>
      <c r="AI83" s="8" t="s">
        <v>1</v>
      </c>
      <c r="AJ83" s="9"/>
      <c r="AK83" s="11">
        <v>45985</v>
      </c>
      <c r="AL83" s="9"/>
      <c r="AM83" s="9" t="s">
        <v>17</v>
      </c>
      <c r="AN83" s="11">
        <v>45995</v>
      </c>
      <c r="AO83" s="38"/>
    </row>
    <row r="84" spans="1:41" x14ac:dyDescent="0.45">
      <c r="A84" s="35" t="s">
        <v>562</v>
      </c>
      <c r="B84" s="6">
        <v>45901</v>
      </c>
      <c r="C84" s="7">
        <v>2025</v>
      </c>
      <c r="D84" s="5" t="s">
        <v>105</v>
      </c>
      <c r="E84" s="5" t="s">
        <v>24</v>
      </c>
      <c r="F84" s="5" t="s">
        <v>123</v>
      </c>
      <c r="G84" s="5" t="s">
        <v>50</v>
      </c>
      <c r="H84" s="5" t="s">
        <v>9</v>
      </c>
      <c r="I84" s="5" t="s">
        <v>10</v>
      </c>
      <c r="J84" s="5" t="s">
        <v>563</v>
      </c>
      <c r="K84" s="5" t="s">
        <v>564</v>
      </c>
      <c r="L84" s="5" t="s">
        <v>565</v>
      </c>
      <c r="M84" s="5" t="s">
        <v>566</v>
      </c>
      <c r="N84" s="5" t="s">
        <v>567</v>
      </c>
      <c r="O84" s="8" t="s">
        <v>43</v>
      </c>
      <c r="P84" s="8" t="s">
        <v>112</v>
      </c>
      <c r="Q84" s="5" t="s">
        <v>568</v>
      </c>
      <c r="R84" s="8" t="s">
        <v>569</v>
      </c>
      <c r="S84" s="9" t="s">
        <v>570</v>
      </c>
      <c r="T84" s="8">
        <v>0.01</v>
      </c>
      <c r="U84" s="8" t="s">
        <v>116</v>
      </c>
      <c r="V84" s="8">
        <v>0.01</v>
      </c>
      <c r="W84" s="8">
        <v>12.2</v>
      </c>
      <c r="X84" s="10">
        <v>0.99918032786885247</v>
      </c>
      <c r="Y84" s="8">
        <v>1</v>
      </c>
      <c r="Z84" s="8" t="s">
        <v>117</v>
      </c>
      <c r="AA84" s="5" t="s">
        <v>33</v>
      </c>
      <c r="AB84" s="5" t="s">
        <v>571</v>
      </c>
      <c r="AC84" s="12"/>
      <c r="AD84" s="5"/>
      <c r="AE84" s="8" t="s">
        <v>9</v>
      </c>
      <c r="AF84" s="11"/>
      <c r="AG84" s="5"/>
      <c r="AH84" s="8"/>
      <c r="AI84" s="8" t="s">
        <v>1</v>
      </c>
      <c r="AJ84" s="9"/>
      <c r="AK84" s="11">
        <v>45985</v>
      </c>
      <c r="AL84" s="9"/>
      <c r="AM84" s="9" t="s">
        <v>17</v>
      </c>
      <c r="AN84" s="11">
        <v>45995</v>
      </c>
      <c r="AO84" s="38"/>
    </row>
    <row r="85" spans="1:41" x14ac:dyDescent="0.45">
      <c r="A85" s="35" t="s">
        <v>572</v>
      </c>
      <c r="B85" s="6">
        <v>45901</v>
      </c>
      <c r="C85" s="7">
        <v>2025</v>
      </c>
      <c r="D85" s="5" t="s">
        <v>105</v>
      </c>
      <c r="E85" s="5" t="s">
        <v>24</v>
      </c>
      <c r="F85" s="5" t="s">
        <v>35</v>
      </c>
      <c r="G85" s="5" t="s">
        <v>35</v>
      </c>
      <c r="H85" s="5" t="s">
        <v>9</v>
      </c>
      <c r="I85" s="5" t="s">
        <v>10</v>
      </c>
      <c r="J85" s="5" t="s">
        <v>573</v>
      </c>
      <c r="K85" s="5" t="s">
        <v>574</v>
      </c>
      <c r="L85" s="5" t="s">
        <v>575</v>
      </c>
      <c r="M85" s="5" t="s">
        <v>576</v>
      </c>
      <c r="N85" s="5" t="s">
        <v>577</v>
      </c>
      <c r="O85" s="8" t="s">
        <v>43</v>
      </c>
      <c r="P85" s="8" t="s">
        <v>112</v>
      </c>
      <c r="Q85" s="5" t="s">
        <v>578</v>
      </c>
      <c r="R85" s="8" t="s">
        <v>579</v>
      </c>
      <c r="S85" s="9" t="s">
        <v>580</v>
      </c>
      <c r="T85" s="8">
        <v>0.05</v>
      </c>
      <c r="U85" s="8" t="s">
        <v>116</v>
      </c>
      <c r="V85" s="8">
        <v>0.05</v>
      </c>
      <c r="W85" s="8">
        <v>12.2</v>
      </c>
      <c r="X85" s="10">
        <v>0.99590163934426224</v>
      </c>
      <c r="Y85" s="8">
        <v>10000</v>
      </c>
      <c r="Z85" s="8" t="s">
        <v>117</v>
      </c>
      <c r="AA85" s="5" t="s">
        <v>33</v>
      </c>
      <c r="AB85" s="5" t="s">
        <v>554</v>
      </c>
      <c r="AC85" s="12"/>
      <c r="AD85" s="5"/>
      <c r="AE85" s="8" t="s">
        <v>9</v>
      </c>
      <c r="AF85" s="11"/>
      <c r="AG85" s="5"/>
      <c r="AH85" s="8"/>
      <c r="AI85" s="8" t="s">
        <v>1</v>
      </c>
      <c r="AJ85" s="9"/>
      <c r="AK85" s="11">
        <v>45985</v>
      </c>
      <c r="AL85" s="9"/>
      <c r="AM85" s="9" t="s">
        <v>17</v>
      </c>
      <c r="AN85" s="11">
        <v>45995</v>
      </c>
      <c r="AO85" s="38"/>
    </row>
    <row r="86" spans="1:41" x14ac:dyDescent="0.45">
      <c r="A86" s="35" t="s">
        <v>581</v>
      </c>
      <c r="B86" s="6">
        <v>45962</v>
      </c>
      <c r="C86" s="7">
        <v>2025</v>
      </c>
      <c r="D86" s="5" t="s">
        <v>105</v>
      </c>
      <c r="E86" s="5" t="s">
        <v>24</v>
      </c>
      <c r="F86" s="5" t="s">
        <v>123</v>
      </c>
      <c r="G86" s="5" t="s">
        <v>50</v>
      </c>
      <c r="H86" s="5" t="s">
        <v>9</v>
      </c>
      <c r="I86" s="5" t="s">
        <v>10</v>
      </c>
      <c r="J86" s="5" t="s">
        <v>563</v>
      </c>
      <c r="K86" s="5" t="s">
        <v>564</v>
      </c>
      <c r="L86" s="5" t="s">
        <v>565</v>
      </c>
      <c r="M86" s="5" t="s">
        <v>566</v>
      </c>
      <c r="N86" s="5" t="s">
        <v>567</v>
      </c>
      <c r="O86" s="8" t="s">
        <v>43</v>
      </c>
      <c r="P86" s="8" t="s">
        <v>112</v>
      </c>
      <c r="Q86" s="5" t="s">
        <v>582</v>
      </c>
      <c r="R86" s="8" t="s">
        <v>583</v>
      </c>
      <c r="S86" s="9" t="s">
        <v>570</v>
      </c>
      <c r="T86" s="8">
        <v>0.01</v>
      </c>
      <c r="U86" s="8" t="s">
        <v>116</v>
      </c>
      <c r="V86" s="8">
        <v>0.01</v>
      </c>
      <c r="W86" s="8">
        <v>12.2</v>
      </c>
      <c r="X86" s="10">
        <v>0.99918032786885247</v>
      </c>
      <c r="Y86" s="8">
        <v>1</v>
      </c>
      <c r="Z86" s="8" t="s">
        <v>117</v>
      </c>
      <c r="AA86" s="5" t="s">
        <v>33</v>
      </c>
      <c r="AB86" s="5" t="s">
        <v>571</v>
      </c>
      <c r="AC86" s="12"/>
      <c r="AD86" s="5"/>
      <c r="AE86" s="8" t="s">
        <v>9</v>
      </c>
      <c r="AF86" s="11"/>
      <c r="AG86" s="5"/>
      <c r="AH86" s="8"/>
      <c r="AI86" s="8" t="s">
        <v>1</v>
      </c>
      <c r="AJ86" s="9"/>
      <c r="AK86" s="11">
        <v>45985</v>
      </c>
      <c r="AL86" s="9"/>
      <c r="AM86" s="9" t="s">
        <v>17</v>
      </c>
      <c r="AN86" s="11">
        <v>45995</v>
      </c>
      <c r="AO86" s="38"/>
    </row>
    <row r="87" spans="1:41" s="109" customFormat="1" x14ac:dyDescent="0.45">
      <c r="A87" s="99" t="s">
        <v>584</v>
      </c>
      <c r="B87" s="100">
        <v>45962</v>
      </c>
      <c r="C87" s="101">
        <v>2025</v>
      </c>
      <c r="D87" s="102" t="s">
        <v>105</v>
      </c>
      <c r="E87" s="102" t="s">
        <v>24</v>
      </c>
      <c r="F87" s="102" t="s">
        <v>123</v>
      </c>
      <c r="G87" s="102" t="s">
        <v>50</v>
      </c>
      <c r="H87" s="102" t="s">
        <v>585</v>
      </c>
      <c r="I87" s="102" t="s">
        <v>10</v>
      </c>
      <c r="J87" s="102" t="s">
        <v>586</v>
      </c>
      <c r="K87" s="102" t="s">
        <v>587</v>
      </c>
      <c r="L87" s="102" t="s">
        <v>139</v>
      </c>
      <c r="M87" s="102" t="s">
        <v>558</v>
      </c>
      <c r="N87" s="102" t="s">
        <v>228</v>
      </c>
      <c r="O87" s="103" t="s">
        <v>43</v>
      </c>
      <c r="P87" s="103" t="s">
        <v>112</v>
      </c>
      <c r="Q87" s="102" t="s">
        <v>588</v>
      </c>
      <c r="R87" s="103" t="s">
        <v>589</v>
      </c>
      <c r="S87" s="104" t="s">
        <v>561</v>
      </c>
      <c r="T87" s="103">
        <v>0.85099999999999998</v>
      </c>
      <c r="U87" s="103" t="s">
        <v>116</v>
      </c>
      <c r="V87" s="103">
        <v>0.85099999999999998</v>
      </c>
      <c r="W87" s="103">
        <v>12.2</v>
      </c>
      <c r="X87" s="105">
        <v>0.93024590163934429</v>
      </c>
      <c r="Y87" s="103">
        <v>500</v>
      </c>
      <c r="Z87" s="103" t="s">
        <v>117</v>
      </c>
      <c r="AA87" s="102" t="s">
        <v>33</v>
      </c>
      <c r="AB87" s="102" t="s">
        <v>571</v>
      </c>
      <c r="AC87" s="106"/>
      <c r="AD87" s="102"/>
      <c r="AE87" s="103" t="s">
        <v>9</v>
      </c>
      <c r="AF87" s="107"/>
      <c r="AG87" s="102"/>
      <c r="AH87" s="103"/>
      <c r="AI87" s="103" t="s">
        <v>1</v>
      </c>
      <c r="AJ87" s="104"/>
      <c r="AK87" s="107">
        <v>45985</v>
      </c>
      <c r="AL87" s="104"/>
      <c r="AM87" s="104" t="s">
        <v>17</v>
      </c>
      <c r="AN87" s="107">
        <v>45995</v>
      </c>
      <c r="AO87" s="108"/>
    </row>
    <row r="88" spans="1:41" s="109" customFormat="1" x14ac:dyDescent="0.45">
      <c r="A88" s="99" t="s">
        <v>590</v>
      </c>
      <c r="B88" s="100">
        <v>45962</v>
      </c>
      <c r="C88" s="101">
        <v>2025</v>
      </c>
      <c r="D88" s="102" t="s">
        <v>105</v>
      </c>
      <c r="E88" s="102" t="s">
        <v>24</v>
      </c>
      <c r="F88" s="102" t="s">
        <v>123</v>
      </c>
      <c r="G88" s="102" t="s">
        <v>50</v>
      </c>
      <c r="H88" s="102" t="s">
        <v>585</v>
      </c>
      <c r="I88" s="102" t="s">
        <v>10</v>
      </c>
      <c r="J88" s="102" t="s">
        <v>548</v>
      </c>
      <c r="K88" s="102" t="s">
        <v>549</v>
      </c>
      <c r="L88" s="102" t="s">
        <v>388</v>
      </c>
      <c r="M88" s="102" t="s">
        <v>550</v>
      </c>
      <c r="N88" s="102" t="s">
        <v>228</v>
      </c>
      <c r="O88" s="103" t="s">
        <v>43</v>
      </c>
      <c r="P88" s="103" t="s">
        <v>112</v>
      </c>
      <c r="Q88" s="102" t="s">
        <v>591</v>
      </c>
      <c r="R88" s="103" t="s">
        <v>592</v>
      </c>
      <c r="S88" s="104" t="s">
        <v>593</v>
      </c>
      <c r="T88" s="103">
        <v>1.2</v>
      </c>
      <c r="U88" s="103" t="s">
        <v>116</v>
      </c>
      <c r="V88" s="103">
        <v>1.2</v>
      </c>
      <c r="W88" s="103">
        <v>12.2</v>
      </c>
      <c r="X88" s="105">
        <v>0.90163934426229508</v>
      </c>
      <c r="Y88" s="103">
        <v>50000</v>
      </c>
      <c r="Z88" s="103" t="s">
        <v>117</v>
      </c>
      <c r="AA88" s="102" t="s">
        <v>33</v>
      </c>
      <c r="AB88" s="102" t="s">
        <v>554</v>
      </c>
      <c r="AC88" s="106"/>
      <c r="AD88" s="102"/>
      <c r="AE88" s="103" t="s">
        <v>9</v>
      </c>
      <c r="AF88" s="107"/>
      <c r="AG88" s="102"/>
      <c r="AH88" s="103"/>
      <c r="AI88" s="103" t="s">
        <v>1</v>
      </c>
      <c r="AJ88" s="104"/>
      <c r="AK88" s="107">
        <v>45985</v>
      </c>
      <c r="AL88" s="104"/>
      <c r="AM88" s="104" t="s">
        <v>17</v>
      </c>
      <c r="AN88" s="107">
        <v>45995</v>
      </c>
      <c r="AO88" s="108"/>
    </row>
    <row r="89" spans="1:41" s="109" customFormat="1" x14ac:dyDescent="0.45">
      <c r="A89" s="99" t="s">
        <v>594</v>
      </c>
      <c r="B89" s="100">
        <v>45962</v>
      </c>
      <c r="C89" s="101">
        <v>2025</v>
      </c>
      <c r="D89" s="102" t="s">
        <v>105</v>
      </c>
      <c r="E89" s="102" t="s">
        <v>24</v>
      </c>
      <c r="F89" s="102" t="s">
        <v>123</v>
      </c>
      <c r="G89" s="102" t="s">
        <v>50</v>
      </c>
      <c r="H89" s="102" t="s">
        <v>585</v>
      </c>
      <c r="I89" s="102" t="s">
        <v>10</v>
      </c>
      <c r="J89" s="102" t="s">
        <v>595</v>
      </c>
      <c r="K89" s="102" t="s">
        <v>596</v>
      </c>
      <c r="L89" s="102" t="s">
        <v>149</v>
      </c>
      <c r="M89" s="102" t="s">
        <v>597</v>
      </c>
      <c r="N89" s="102" t="s">
        <v>598</v>
      </c>
      <c r="O89" s="103" t="s">
        <v>599</v>
      </c>
      <c r="P89" s="103" t="s">
        <v>112</v>
      </c>
      <c r="Q89" s="102" t="s">
        <v>600</v>
      </c>
      <c r="R89" s="103" t="s">
        <v>601</v>
      </c>
      <c r="S89" s="104" t="s">
        <v>602</v>
      </c>
      <c r="T89" s="103">
        <v>0.01</v>
      </c>
      <c r="U89" s="103" t="s">
        <v>116</v>
      </c>
      <c r="V89" s="103">
        <v>0.01</v>
      </c>
      <c r="W89" s="103">
        <v>22.7</v>
      </c>
      <c r="X89" s="105">
        <v>0.99955947136563872</v>
      </c>
      <c r="Y89" s="103">
        <v>50000</v>
      </c>
      <c r="Z89" s="103" t="s">
        <v>117</v>
      </c>
      <c r="AA89" s="102" t="s">
        <v>33</v>
      </c>
      <c r="AB89" s="102" t="s">
        <v>554</v>
      </c>
      <c r="AC89" s="106"/>
      <c r="AD89" s="102"/>
      <c r="AE89" s="103" t="s">
        <v>9</v>
      </c>
      <c r="AF89" s="107"/>
      <c r="AG89" s="102"/>
      <c r="AH89" s="103"/>
      <c r="AI89" s="103" t="s">
        <v>1</v>
      </c>
      <c r="AJ89" s="104"/>
      <c r="AK89" s="107">
        <v>45985</v>
      </c>
      <c r="AL89" s="104"/>
      <c r="AM89" s="104" t="s">
        <v>17</v>
      </c>
      <c r="AN89" s="107">
        <v>45995</v>
      </c>
      <c r="AO89" s="108"/>
    </row>
    <row r="90" spans="1:41" s="109" customFormat="1" x14ac:dyDescent="0.45">
      <c r="A90" s="99" t="s">
        <v>603</v>
      </c>
      <c r="B90" s="100">
        <v>45901</v>
      </c>
      <c r="C90" s="101">
        <v>2025</v>
      </c>
      <c r="D90" s="102" t="s">
        <v>105</v>
      </c>
      <c r="E90" s="102" t="s">
        <v>24</v>
      </c>
      <c r="F90" s="102" t="s">
        <v>123</v>
      </c>
      <c r="G90" s="102" t="s">
        <v>50</v>
      </c>
      <c r="H90" s="102" t="s">
        <v>585</v>
      </c>
      <c r="I90" s="102" t="s">
        <v>10</v>
      </c>
      <c r="J90" s="102" t="s">
        <v>604</v>
      </c>
      <c r="K90" s="102" t="s">
        <v>605</v>
      </c>
      <c r="L90" s="102" t="s">
        <v>127</v>
      </c>
      <c r="M90" s="102" t="s">
        <v>606</v>
      </c>
      <c r="N90" s="102" t="s">
        <v>607</v>
      </c>
      <c r="O90" s="103" t="s">
        <v>273</v>
      </c>
      <c r="P90" s="103" t="s">
        <v>112</v>
      </c>
      <c r="Q90" s="102" t="s">
        <v>608</v>
      </c>
      <c r="R90" s="103" t="s">
        <v>609</v>
      </c>
      <c r="S90" s="104" t="s">
        <v>610</v>
      </c>
      <c r="T90" s="103">
        <v>0.65</v>
      </c>
      <c r="U90" s="103" t="s">
        <v>116</v>
      </c>
      <c r="V90" s="103">
        <v>0.65</v>
      </c>
      <c r="W90" s="103"/>
      <c r="X90" s="105"/>
      <c r="Y90" s="103">
        <v>1000000</v>
      </c>
      <c r="Z90" s="103" t="s">
        <v>117</v>
      </c>
      <c r="AA90" s="102" t="s">
        <v>33</v>
      </c>
      <c r="AB90" s="102" t="s">
        <v>222</v>
      </c>
      <c r="AC90" s="106"/>
      <c r="AD90" s="102"/>
      <c r="AE90" s="103" t="s">
        <v>9</v>
      </c>
      <c r="AF90" s="107"/>
      <c r="AG90" s="102"/>
      <c r="AH90" s="103"/>
      <c r="AI90" s="103" t="s">
        <v>1</v>
      </c>
      <c r="AJ90" s="104"/>
      <c r="AK90" s="107">
        <v>46008</v>
      </c>
      <c r="AL90" s="110"/>
      <c r="AM90" s="104" t="s">
        <v>17</v>
      </c>
      <c r="AN90" s="107">
        <v>46018</v>
      </c>
      <c r="AO90" s="108"/>
    </row>
    <row r="91" spans="1:41" s="109" customFormat="1" x14ac:dyDescent="0.45">
      <c r="A91" s="99" t="s">
        <v>611</v>
      </c>
      <c r="B91" s="100">
        <v>45901</v>
      </c>
      <c r="C91" s="101">
        <v>2025</v>
      </c>
      <c r="D91" s="102" t="s">
        <v>105</v>
      </c>
      <c r="E91" s="102" t="s">
        <v>24</v>
      </c>
      <c r="F91" s="102" t="s">
        <v>123</v>
      </c>
      <c r="G91" s="102" t="s">
        <v>50</v>
      </c>
      <c r="H91" s="102" t="s">
        <v>585</v>
      </c>
      <c r="I91" s="102" t="s">
        <v>10</v>
      </c>
      <c r="J91" s="102" t="s">
        <v>586</v>
      </c>
      <c r="K91" s="102" t="s">
        <v>587</v>
      </c>
      <c r="L91" s="102" t="s">
        <v>139</v>
      </c>
      <c r="M91" s="102" t="s">
        <v>558</v>
      </c>
      <c r="N91" s="102" t="s">
        <v>228</v>
      </c>
      <c r="O91" s="103" t="s">
        <v>273</v>
      </c>
      <c r="P91" s="103" t="s">
        <v>112</v>
      </c>
      <c r="Q91" s="102" t="s">
        <v>612</v>
      </c>
      <c r="R91" s="103" t="s">
        <v>613</v>
      </c>
      <c r="S91" s="104" t="s">
        <v>614</v>
      </c>
      <c r="T91" s="103">
        <v>0.64200000000000002</v>
      </c>
      <c r="U91" s="103" t="s">
        <v>116</v>
      </c>
      <c r="V91" s="103">
        <v>0.64200000000000002</v>
      </c>
      <c r="W91" s="103"/>
      <c r="X91" s="105"/>
      <c r="Y91" s="103">
        <v>500</v>
      </c>
      <c r="Z91" s="103" t="s">
        <v>117</v>
      </c>
      <c r="AA91" s="102" t="s">
        <v>33</v>
      </c>
      <c r="AB91" s="102"/>
      <c r="AC91" s="106"/>
      <c r="AD91" s="102"/>
      <c r="AE91" s="103" t="s">
        <v>9</v>
      </c>
      <c r="AF91" s="107"/>
      <c r="AG91" s="102"/>
      <c r="AH91" s="103"/>
      <c r="AI91" s="103" t="s">
        <v>1</v>
      </c>
      <c r="AJ91" s="104"/>
      <c r="AK91" s="107">
        <v>46024</v>
      </c>
      <c r="AL91" s="104"/>
      <c r="AM91" s="104" t="s">
        <v>17</v>
      </c>
      <c r="AN91" s="107">
        <v>46034</v>
      </c>
      <c r="AO91" s="108"/>
    </row>
    <row r="92" spans="1:41" s="109" customFormat="1" x14ac:dyDescent="0.45">
      <c r="A92" s="99" t="s">
        <v>615</v>
      </c>
      <c r="B92" s="100">
        <v>45901</v>
      </c>
      <c r="C92" s="101">
        <v>2025</v>
      </c>
      <c r="D92" s="102" t="s">
        <v>105</v>
      </c>
      <c r="E92" s="102" t="s">
        <v>24</v>
      </c>
      <c r="F92" s="102" t="s">
        <v>123</v>
      </c>
      <c r="G92" s="102" t="s">
        <v>50</v>
      </c>
      <c r="H92" s="102" t="s">
        <v>585</v>
      </c>
      <c r="I92" s="102" t="s">
        <v>10</v>
      </c>
      <c r="J92" s="102" t="s">
        <v>604</v>
      </c>
      <c r="K92" s="102" t="s">
        <v>605</v>
      </c>
      <c r="L92" s="102" t="s">
        <v>127</v>
      </c>
      <c r="M92" s="102" t="s">
        <v>606</v>
      </c>
      <c r="N92" s="102" t="s">
        <v>607</v>
      </c>
      <c r="O92" s="103" t="s">
        <v>273</v>
      </c>
      <c r="P92" s="103" t="s">
        <v>112</v>
      </c>
      <c r="Q92" s="102" t="s">
        <v>616</v>
      </c>
      <c r="R92" s="103" t="s">
        <v>617</v>
      </c>
      <c r="S92" s="104" t="s">
        <v>618</v>
      </c>
      <c r="T92" s="103">
        <v>0.55000000000000004</v>
      </c>
      <c r="U92" s="103" t="s">
        <v>116</v>
      </c>
      <c r="V92" s="103">
        <v>0.55000000000000004</v>
      </c>
      <c r="W92" s="103"/>
      <c r="X92" s="105"/>
      <c r="Y92" s="103">
        <v>10000000</v>
      </c>
      <c r="Z92" s="103" t="s">
        <v>117</v>
      </c>
      <c r="AA92" s="102" t="s">
        <v>33</v>
      </c>
      <c r="AB92" s="102" t="s">
        <v>222</v>
      </c>
      <c r="AC92" s="106"/>
      <c r="AD92" s="102"/>
      <c r="AE92" s="103" t="s">
        <v>9</v>
      </c>
      <c r="AF92" s="107"/>
      <c r="AG92" s="102"/>
      <c r="AH92" s="103"/>
      <c r="AI92" s="103" t="s">
        <v>2</v>
      </c>
      <c r="AJ92" s="104" t="s">
        <v>20</v>
      </c>
      <c r="AK92" s="107"/>
      <c r="AL92" s="104"/>
      <c r="AM92" s="104"/>
      <c r="AN92" s="107"/>
      <c r="AO92" s="108"/>
    </row>
    <row r="93" spans="1:41" s="109" customFormat="1" x14ac:dyDescent="0.45">
      <c r="A93" s="99" t="s">
        <v>619</v>
      </c>
      <c r="B93" s="100">
        <v>45839</v>
      </c>
      <c r="C93" s="101">
        <v>2025</v>
      </c>
      <c r="D93" s="102" t="s">
        <v>105</v>
      </c>
      <c r="E93" s="102" t="s">
        <v>24</v>
      </c>
      <c r="F93" s="102" t="s">
        <v>123</v>
      </c>
      <c r="G93" s="102" t="s">
        <v>50</v>
      </c>
      <c r="H93" s="102" t="s">
        <v>585</v>
      </c>
      <c r="I93" s="102" t="s">
        <v>10</v>
      </c>
      <c r="J93" s="102" t="s">
        <v>586</v>
      </c>
      <c r="K93" s="102" t="s">
        <v>587</v>
      </c>
      <c r="L93" s="102" t="s">
        <v>139</v>
      </c>
      <c r="M93" s="102" t="s">
        <v>558</v>
      </c>
      <c r="N93" s="102" t="s">
        <v>228</v>
      </c>
      <c r="O93" s="103" t="s">
        <v>273</v>
      </c>
      <c r="P93" s="103" t="s">
        <v>112</v>
      </c>
      <c r="Q93" s="102" t="s">
        <v>620</v>
      </c>
      <c r="R93" s="103" t="s">
        <v>621</v>
      </c>
      <c r="S93" s="104" t="s">
        <v>622</v>
      </c>
      <c r="T93" s="103">
        <v>0.64200000000000002</v>
      </c>
      <c r="U93" s="103" t="s">
        <v>116</v>
      </c>
      <c r="V93" s="103">
        <v>0.64200000000000002</v>
      </c>
      <c r="W93" s="103"/>
      <c r="X93" s="105"/>
      <c r="Y93" s="103">
        <v>500</v>
      </c>
      <c r="Z93" s="103" t="s">
        <v>117</v>
      </c>
      <c r="AA93" s="102" t="s">
        <v>33</v>
      </c>
      <c r="AB93" s="102"/>
      <c r="AC93" s="106"/>
      <c r="AD93" s="102"/>
      <c r="AE93" s="103" t="s">
        <v>9</v>
      </c>
      <c r="AF93" s="107"/>
      <c r="AG93" s="102"/>
      <c r="AH93" s="103"/>
      <c r="AI93" s="103" t="s">
        <v>1</v>
      </c>
      <c r="AJ93" s="104"/>
      <c r="AK93" s="107">
        <v>46024</v>
      </c>
      <c r="AL93" s="104"/>
      <c r="AM93" s="104" t="s">
        <v>17</v>
      </c>
      <c r="AN93" s="107">
        <v>46034</v>
      </c>
      <c r="AO93" s="108"/>
    </row>
    <row r="94" spans="1:41" s="109" customFormat="1" x14ac:dyDescent="0.45">
      <c r="A94" s="99" t="s">
        <v>623</v>
      </c>
      <c r="B94" s="100">
        <v>45962</v>
      </c>
      <c r="C94" s="101">
        <v>2025</v>
      </c>
      <c r="D94" s="102" t="s">
        <v>105</v>
      </c>
      <c r="E94" s="102" t="s">
        <v>24</v>
      </c>
      <c r="F94" s="102" t="s">
        <v>123</v>
      </c>
      <c r="G94" s="102" t="s">
        <v>50</v>
      </c>
      <c r="H94" s="102" t="s">
        <v>585</v>
      </c>
      <c r="I94" s="102" t="s">
        <v>10</v>
      </c>
      <c r="J94" s="102" t="s">
        <v>604</v>
      </c>
      <c r="K94" s="102" t="s">
        <v>605</v>
      </c>
      <c r="L94" s="102" t="s">
        <v>127</v>
      </c>
      <c r="M94" s="102" t="s">
        <v>606</v>
      </c>
      <c r="N94" s="102" t="s">
        <v>607</v>
      </c>
      <c r="O94" s="103" t="s">
        <v>273</v>
      </c>
      <c r="P94" s="103" t="s">
        <v>112</v>
      </c>
      <c r="Q94" s="102" t="s">
        <v>624</v>
      </c>
      <c r="R94" s="103" t="s">
        <v>625</v>
      </c>
      <c r="S94" s="104" t="s">
        <v>626</v>
      </c>
      <c r="T94" s="103">
        <v>0.65</v>
      </c>
      <c r="U94" s="103" t="s">
        <v>116</v>
      </c>
      <c r="V94" s="103">
        <v>0.65</v>
      </c>
      <c r="W94" s="103"/>
      <c r="X94" s="105"/>
      <c r="Y94" s="103">
        <v>1000000</v>
      </c>
      <c r="Z94" s="103" t="s">
        <v>117</v>
      </c>
      <c r="AA94" s="102" t="s">
        <v>33</v>
      </c>
      <c r="AB94" s="102" t="s">
        <v>222</v>
      </c>
      <c r="AC94" s="106"/>
      <c r="AD94" s="102"/>
      <c r="AE94" s="103" t="s">
        <v>9</v>
      </c>
      <c r="AF94" s="107"/>
      <c r="AG94" s="102"/>
      <c r="AH94" s="103"/>
      <c r="AI94" s="103" t="s">
        <v>2</v>
      </c>
      <c r="AJ94" s="104" t="s">
        <v>20</v>
      </c>
      <c r="AK94" s="107"/>
      <c r="AL94" s="104"/>
      <c r="AM94" s="104"/>
      <c r="AN94" s="107"/>
      <c r="AO94" s="108"/>
    </row>
    <row r="95" spans="1:41" s="109" customFormat="1" x14ac:dyDescent="0.45">
      <c r="A95" s="99" t="s">
        <v>627</v>
      </c>
      <c r="B95" s="100">
        <v>45962</v>
      </c>
      <c r="C95" s="101">
        <v>2025</v>
      </c>
      <c r="D95" s="102" t="s">
        <v>105</v>
      </c>
      <c r="E95" s="102" t="s">
        <v>24</v>
      </c>
      <c r="F95" s="102" t="s">
        <v>123</v>
      </c>
      <c r="G95" s="102" t="s">
        <v>50</v>
      </c>
      <c r="H95" s="102" t="s">
        <v>585</v>
      </c>
      <c r="I95" s="102" t="s">
        <v>10</v>
      </c>
      <c r="J95" s="102" t="s">
        <v>604</v>
      </c>
      <c r="K95" s="102" t="s">
        <v>605</v>
      </c>
      <c r="L95" s="102" t="s">
        <v>127</v>
      </c>
      <c r="M95" s="102" t="s">
        <v>606</v>
      </c>
      <c r="N95" s="102" t="s">
        <v>607</v>
      </c>
      <c r="O95" s="103" t="s">
        <v>253</v>
      </c>
      <c r="P95" s="103" t="s">
        <v>112</v>
      </c>
      <c r="Q95" s="102" t="s">
        <v>628</v>
      </c>
      <c r="R95" s="103" t="s">
        <v>629</v>
      </c>
      <c r="S95" s="104" t="s">
        <v>630</v>
      </c>
      <c r="T95" s="103">
        <v>0.65</v>
      </c>
      <c r="U95" s="103" t="s">
        <v>116</v>
      </c>
      <c r="V95" s="103">
        <v>0.65</v>
      </c>
      <c r="W95" s="103">
        <v>7.04</v>
      </c>
      <c r="X95" s="105">
        <v>0.90767045454545447</v>
      </c>
      <c r="Y95" s="103">
        <v>1000000</v>
      </c>
      <c r="Z95" s="103" t="s">
        <v>117</v>
      </c>
      <c r="AA95" s="102" t="s">
        <v>33</v>
      </c>
      <c r="AB95" s="102" t="s">
        <v>554</v>
      </c>
      <c r="AC95" s="106"/>
      <c r="AD95" s="102"/>
      <c r="AE95" s="103" t="s">
        <v>9</v>
      </c>
      <c r="AF95" s="107"/>
      <c r="AG95" s="102"/>
      <c r="AH95" s="103"/>
      <c r="AI95" s="103" t="s">
        <v>2</v>
      </c>
      <c r="AJ95" s="104" t="s">
        <v>20</v>
      </c>
      <c r="AK95" s="107"/>
      <c r="AL95" s="104"/>
      <c r="AM95" s="104"/>
      <c r="AN95" s="107"/>
      <c r="AO95" s="108"/>
    </row>
    <row r="96" spans="1:41" s="109" customFormat="1" x14ac:dyDescent="0.45">
      <c r="A96" s="99" t="s">
        <v>631</v>
      </c>
      <c r="B96" s="100">
        <v>45962</v>
      </c>
      <c r="C96" s="101">
        <v>2025</v>
      </c>
      <c r="D96" s="102" t="s">
        <v>105</v>
      </c>
      <c r="E96" s="102" t="s">
        <v>24</v>
      </c>
      <c r="F96" s="102" t="s">
        <v>123</v>
      </c>
      <c r="G96" s="102" t="s">
        <v>50</v>
      </c>
      <c r="H96" s="102" t="s">
        <v>585</v>
      </c>
      <c r="I96" s="102" t="s">
        <v>10</v>
      </c>
      <c r="J96" s="102" t="s">
        <v>604</v>
      </c>
      <c r="K96" s="102" t="s">
        <v>605</v>
      </c>
      <c r="L96" s="102" t="s">
        <v>127</v>
      </c>
      <c r="M96" s="102" t="s">
        <v>606</v>
      </c>
      <c r="N96" s="102" t="s">
        <v>607</v>
      </c>
      <c r="O96" s="103" t="s">
        <v>253</v>
      </c>
      <c r="P96" s="103" t="s">
        <v>112</v>
      </c>
      <c r="Q96" s="102" t="s">
        <v>632</v>
      </c>
      <c r="R96" s="103" t="s">
        <v>633</v>
      </c>
      <c r="S96" s="104" t="s">
        <v>634</v>
      </c>
      <c r="T96" s="103">
        <v>3.1</v>
      </c>
      <c r="U96" s="103" t="s">
        <v>116</v>
      </c>
      <c r="V96" s="103">
        <v>3.1</v>
      </c>
      <c r="W96" s="103">
        <v>7.04</v>
      </c>
      <c r="X96" s="105">
        <v>0.55965909090909094</v>
      </c>
      <c r="Y96" s="103">
        <v>1000000</v>
      </c>
      <c r="Z96" s="103" t="s">
        <v>117</v>
      </c>
      <c r="AA96" s="102" t="s">
        <v>33</v>
      </c>
      <c r="AB96" s="102" t="s">
        <v>554</v>
      </c>
      <c r="AC96" s="106"/>
      <c r="AD96" s="102"/>
      <c r="AE96" s="103" t="s">
        <v>9</v>
      </c>
      <c r="AF96" s="107"/>
      <c r="AG96" s="102"/>
      <c r="AH96" s="103"/>
      <c r="AI96" s="103" t="s">
        <v>2</v>
      </c>
      <c r="AJ96" s="104" t="s">
        <v>20</v>
      </c>
      <c r="AK96" s="107"/>
      <c r="AL96" s="104"/>
      <c r="AM96" s="104"/>
      <c r="AN96" s="107"/>
      <c r="AO96" s="108"/>
    </row>
    <row r="97" spans="1:41" s="109" customFormat="1" x14ac:dyDescent="0.45">
      <c r="A97" s="99" t="s">
        <v>635</v>
      </c>
      <c r="B97" s="100">
        <v>45901</v>
      </c>
      <c r="C97" s="101">
        <v>2025</v>
      </c>
      <c r="D97" s="102" t="s">
        <v>105</v>
      </c>
      <c r="E97" s="102" t="s">
        <v>24</v>
      </c>
      <c r="F97" s="102" t="s">
        <v>123</v>
      </c>
      <c r="G97" s="102" t="s">
        <v>50</v>
      </c>
      <c r="H97" s="102" t="s">
        <v>585</v>
      </c>
      <c r="I97" s="102" t="s">
        <v>10</v>
      </c>
      <c r="J97" s="102" t="s">
        <v>556</v>
      </c>
      <c r="K97" s="102" t="s">
        <v>557</v>
      </c>
      <c r="L97" s="102" t="s">
        <v>149</v>
      </c>
      <c r="M97" s="102" t="s">
        <v>558</v>
      </c>
      <c r="N97" s="102" t="s">
        <v>228</v>
      </c>
      <c r="O97" s="103" t="s">
        <v>295</v>
      </c>
      <c r="P97" s="103" t="s">
        <v>112</v>
      </c>
      <c r="Q97" s="102" t="s">
        <v>636</v>
      </c>
      <c r="R97" s="103" t="s">
        <v>637</v>
      </c>
      <c r="S97" s="104" t="s">
        <v>638</v>
      </c>
      <c r="T97" s="103">
        <v>3.55</v>
      </c>
      <c r="U97" s="103" t="s">
        <v>116</v>
      </c>
      <c r="V97" s="103">
        <v>3.55</v>
      </c>
      <c r="W97" s="103">
        <v>31.23</v>
      </c>
      <c r="X97" s="105">
        <v>0.88632724943964136</v>
      </c>
      <c r="Y97" s="103">
        <v>100000</v>
      </c>
      <c r="Z97" s="103" t="s">
        <v>117</v>
      </c>
      <c r="AA97" s="102" t="s">
        <v>33</v>
      </c>
      <c r="AB97" s="102" t="s">
        <v>554</v>
      </c>
      <c r="AC97" s="106"/>
      <c r="AD97" s="102"/>
      <c r="AE97" s="103" t="s">
        <v>9</v>
      </c>
      <c r="AF97" s="107"/>
      <c r="AG97" s="102"/>
      <c r="AH97" s="103"/>
      <c r="AI97" s="103" t="s">
        <v>1</v>
      </c>
      <c r="AJ97" s="104"/>
      <c r="AK97" s="107">
        <v>45985</v>
      </c>
      <c r="AL97" s="104"/>
      <c r="AM97" s="104" t="s">
        <v>17</v>
      </c>
      <c r="AN97" s="107">
        <v>45995</v>
      </c>
      <c r="AO97" s="108"/>
    </row>
    <row r="98" spans="1:41" s="109" customFormat="1" x14ac:dyDescent="0.45">
      <c r="A98" s="99" t="s">
        <v>639</v>
      </c>
      <c r="B98" s="100">
        <v>45901</v>
      </c>
      <c r="C98" s="101">
        <v>2025</v>
      </c>
      <c r="D98" s="102" t="s">
        <v>105</v>
      </c>
      <c r="E98" s="102" t="s">
        <v>24</v>
      </c>
      <c r="F98" s="102" t="s">
        <v>123</v>
      </c>
      <c r="G98" s="102" t="s">
        <v>50</v>
      </c>
      <c r="H98" s="102" t="s">
        <v>585</v>
      </c>
      <c r="I98" s="102" t="s">
        <v>10</v>
      </c>
      <c r="J98" s="102" t="s">
        <v>586</v>
      </c>
      <c r="K98" s="102" t="s">
        <v>587</v>
      </c>
      <c r="L98" s="102" t="s">
        <v>139</v>
      </c>
      <c r="M98" s="102" t="s">
        <v>558</v>
      </c>
      <c r="N98" s="102" t="s">
        <v>228</v>
      </c>
      <c r="O98" s="103" t="s">
        <v>295</v>
      </c>
      <c r="P98" s="103" t="s">
        <v>112</v>
      </c>
      <c r="Q98" s="102" t="s">
        <v>640</v>
      </c>
      <c r="R98" s="103" t="s">
        <v>641</v>
      </c>
      <c r="S98" s="104" t="s">
        <v>638</v>
      </c>
      <c r="T98" s="103">
        <v>3.44</v>
      </c>
      <c r="U98" s="103" t="s">
        <v>116</v>
      </c>
      <c r="V98" s="103">
        <v>3.44</v>
      </c>
      <c r="W98" s="103">
        <v>31.23</v>
      </c>
      <c r="X98" s="105">
        <v>0.88984950368235671</v>
      </c>
      <c r="Y98" s="103">
        <v>500</v>
      </c>
      <c r="Z98" s="103" t="s">
        <v>117</v>
      </c>
      <c r="AA98" s="102" t="s">
        <v>33</v>
      </c>
      <c r="AB98" s="102" t="s">
        <v>571</v>
      </c>
      <c r="AC98" s="106"/>
      <c r="AD98" s="102"/>
      <c r="AE98" s="103" t="s">
        <v>9</v>
      </c>
      <c r="AF98" s="107"/>
      <c r="AG98" s="102"/>
      <c r="AH98" s="103"/>
      <c r="AI98" s="103" t="s">
        <v>1</v>
      </c>
      <c r="AJ98" s="104"/>
      <c r="AK98" s="107">
        <v>45985</v>
      </c>
      <c r="AL98" s="104"/>
      <c r="AM98" s="104" t="s">
        <v>17</v>
      </c>
      <c r="AN98" s="107">
        <v>45995</v>
      </c>
      <c r="AO98" s="108"/>
    </row>
    <row r="99" spans="1:41" s="109" customFormat="1" x14ac:dyDescent="0.45">
      <c r="A99" s="99" t="s">
        <v>642</v>
      </c>
      <c r="B99" s="100">
        <v>45962</v>
      </c>
      <c r="C99" s="101">
        <v>2025</v>
      </c>
      <c r="D99" s="102" t="s">
        <v>105</v>
      </c>
      <c r="E99" s="102" t="s">
        <v>24</v>
      </c>
      <c r="F99" s="102" t="s">
        <v>123</v>
      </c>
      <c r="G99" s="102" t="s">
        <v>50</v>
      </c>
      <c r="H99" s="102" t="s">
        <v>585</v>
      </c>
      <c r="I99" s="102" t="s">
        <v>10</v>
      </c>
      <c r="J99" s="102" t="s">
        <v>548</v>
      </c>
      <c r="K99" s="102" t="s">
        <v>549</v>
      </c>
      <c r="L99" s="102" t="s">
        <v>388</v>
      </c>
      <c r="M99" s="102" t="s">
        <v>550</v>
      </c>
      <c r="N99" s="102" t="s">
        <v>228</v>
      </c>
      <c r="O99" s="103" t="s">
        <v>295</v>
      </c>
      <c r="P99" s="103" t="s">
        <v>112</v>
      </c>
      <c r="Q99" s="102" t="s">
        <v>643</v>
      </c>
      <c r="R99" s="103" t="s">
        <v>644</v>
      </c>
      <c r="S99" s="104" t="s">
        <v>645</v>
      </c>
      <c r="T99" s="103">
        <v>3.48</v>
      </c>
      <c r="U99" s="103" t="s">
        <v>116</v>
      </c>
      <c r="V99" s="103">
        <v>3.48</v>
      </c>
      <c r="W99" s="103">
        <v>31.23</v>
      </c>
      <c r="X99" s="105">
        <v>0.88856868395773292</v>
      </c>
      <c r="Y99" s="103">
        <v>50000</v>
      </c>
      <c r="Z99" s="103" t="s">
        <v>117</v>
      </c>
      <c r="AA99" s="102" t="s">
        <v>33</v>
      </c>
      <c r="AB99" s="102" t="s">
        <v>554</v>
      </c>
      <c r="AC99" s="106"/>
      <c r="AD99" s="102"/>
      <c r="AE99" s="103" t="s">
        <v>9</v>
      </c>
      <c r="AF99" s="107"/>
      <c r="AG99" s="102"/>
      <c r="AH99" s="103"/>
      <c r="AI99" s="103" t="s">
        <v>1</v>
      </c>
      <c r="AJ99" s="104"/>
      <c r="AK99" s="107">
        <v>45985</v>
      </c>
      <c r="AL99" s="104"/>
      <c r="AM99" s="104" t="s">
        <v>17</v>
      </c>
      <c r="AN99" s="107">
        <v>45995</v>
      </c>
      <c r="AO99" s="108"/>
    </row>
    <row r="100" spans="1:41" s="109" customFormat="1" x14ac:dyDescent="0.45">
      <c r="A100" s="99" t="s">
        <v>646</v>
      </c>
      <c r="B100" s="100">
        <v>45962</v>
      </c>
      <c r="C100" s="101">
        <v>2025</v>
      </c>
      <c r="D100" s="102" t="s">
        <v>105</v>
      </c>
      <c r="E100" s="102" t="s">
        <v>24</v>
      </c>
      <c r="F100" s="102" t="s">
        <v>123</v>
      </c>
      <c r="G100" s="102" t="s">
        <v>50</v>
      </c>
      <c r="H100" s="102" t="s">
        <v>585</v>
      </c>
      <c r="I100" s="102" t="s">
        <v>10</v>
      </c>
      <c r="J100" s="102" t="s">
        <v>647</v>
      </c>
      <c r="K100" s="102" t="s">
        <v>648</v>
      </c>
      <c r="L100" s="102" t="s">
        <v>388</v>
      </c>
      <c r="M100" s="102" t="s">
        <v>649</v>
      </c>
      <c r="N100" s="102" t="s">
        <v>650</v>
      </c>
      <c r="O100" s="103" t="s">
        <v>295</v>
      </c>
      <c r="P100" s="103" t="s">
        <v>112</v>
      </c>
      <c r="Q100" s="102" t="s">
        <v>651</v>
      </c>
      <c r="R100" s="103" t="s">
        <v>652</v>
      </c>
      <c r="S100" s="104" t="s">
        <v>653</v>
      </c>
      <c r="T100" s="103">
        <v>37.479999999999997</v>
      </c>
      <c r="U100" s="103" t="s">
        <v>116</v>
      </c>
      <c r="V100" s="103">
        <v>37.479999999999997</v>
      </c>
      <c r="W100" s="103">
        <v>31.23</v>
      </c>
      <c r="X100" s="105">
        <v>-0.20012808197246226</v>
      </c>
      <c r="Y100" s="103">
        <v>1</v>
      </c>
      <c r="Z100" s="103" t="s">
        <v>117</v>
      </c>
      <c r="AA100" s="102" t="s">
        <v>33</v>
      </c>
      <c r="AB100" s="102"/>
      <c r="AC100" s="106"/>
      <c r="AD100" s="102"/>
      <c r="AE100" s="103" t="s">
        <v>9</v>
      </c>
      <c r="AF100" s="107"/>
      <c r="AG100" s="102"/>
      <c r="AH100" s="103"/>
      <c r="AI100" s="103" t="s">
        <v>1</v>
      </c>
      <c r="AJ100" s="104"/>
      <c r="AK100" s="107">
        <v>45985</v>
      </c>
      <c r="AL100" s="104"/>
      <c r="AM100" s="104" t="s">
        <v>17</v>
      </c>
      <c r="AN100" s="107">
        <v>45995</v>
      </c>
      <c r="AO100" s="108"/>
    </row>
    <row r="101" spans="1:41" s="109" customFormat="1" x14ac:dyDescent="0.45">
      <c r="A101" s="99" t="s">
        <v>654</v>
      </c>
      <c r="B101" s="100">
        <v>45962</v>
      </c>
      <c r="C101" s="101">
        <v>2025</v>
      </c>
      <c r="D101" s="102" t="s">
        <v>105</v>
      </c>
      <c r="E101" s="102" t="s">
        <v>24</v>
      </c>
      <c r="F101" s="102" t="s">
        <v>123</v>
      </c>
      <c r="G101" s="102" t="s">
        <v>50</v>
      </c>
      <c r="H101" s="102" t="s">
        <v>585</v>
      </c>
      <c r="I101" s="102" t="s">
        <v>10</v>
      </c>
      <c r="J101" s="102" t="s">
        <v>595</v>
      </c>
      <c r="K101" s="102" t="s">
        <v>596</v>
      </c>
      <c r="L101" s="102" t="s">
        <v>149</v>
      </c>
      <c r="M101" s="102" t="s">
        <v>597</v>
      </c>
      <c r="N101" s="102" t="s">
        <v>598</v>
      </c>
      <c r="O101" s="103" t="s">
        <v>295</v>
      </c>
      <c r="P101" s="103" t="s">
        <v>112</v>
      </c>
      <c r="Q101" s="102" t="s">
        <v>655</v>
      </c>
      <c r="R101" s="103" t="s">
        <v>656</v>
      </c>
      <c r="S101" s="104" t="s">
        <v>657</v>
      </c>
      <c r="T101" s="103">
        <v>0.01</v>
      </c>
      <c r="U101" s="103" t="s">
        <v>116</v>
      </c>
      <c r="V101" s="103">
        <v>0.01</v>
      </c>
      <c r="W101" s="103">
        <v>31.23</v>
      </c>
      <c r="X101" s="105">
        <v>0.99967979506884397</v>
      </c>
      <c r="Y101" s="103">
        <v>50000</v>
      </c>
      <c r="Z101" s="103" t="s">
        <v>117</v>
      </c>
      <c r="AA101" s="102" t="s">
        <v>33</v>
      </c>
      <c r="AB101" s="102" t="s">
        <v>554</v>
      </c>
      <c r="AC101" s="106"/>
      <c r="AD101" s="102"/>
      <c r="AE101" s="103" t="s">
        <v>9</v>
      </c>
      <c r="AF101" s="107"/>
      <c r="AG101" s="102"/>
      <c r="AH101" s="103"/>
      <c r="AI101" s="103" t="s">
        <v>1</v>
      </c>
      <c r="AJ101" s="104"/>
      <c r="AK101" s="107">
        <v>45985</v>
      </c>
      <c r="AL101" s="104"/>
      <c r="AM101" s="104" t="s">
        <v>17</v>
      </c>
      <c r="AN101" s="107">
        <v>45995</v>
      </c>
      <c r="AO101" s="108"/>
    </row>
    <row r="102" spans="1:41" s="109" customFormat="1" x14ac:dyDescent="0.45">
      <c r="A102" s="99" t="s">
        <v>658</v>
      </c>
      <c r="B102" s="100">
        <v>45962</v>
      </c>
      <c r="C102" s="101">
        <v>2025</v>
      </c>
      <c r="D102" s="102" t="s">
        <v>105</v>
      </c>
      <c r="E102" s="102" t="s">
        <v>24</v>
      </c>
      <c r="F102" s="102" t="s">
        <v>123</v>
      </c>
      <c r="G102" s="102" t="s">
        <v>50</v>
      </c>
      <c r="H102" s="102" t="s">
        <v>585</v>
      </c>
      <c r="I102" s="102" t="s">
        <v>10</v>
      </c>
      <c r="J102" s="102" t="s">
        <v>604</v>
      </c>
      <c r="K102" s="102" t="s">
        <v>605</v>
      </c>
      <c r="L102" s="102" t="s">
        <v>127</v>
      </c>
      <c r="M102" s="102" t="s">
        <v>606</v>
      </c>
      <c r="N102" s="102" t="s">
        <v>607</v>
      </c>
      <c r="O102" s="103" t="s">
        <v>295</v>
      </c>
      <c r="P102" s="103" t="s">
        <v>112</v>
      </c>
      <c r="Q102" s="102" t="s">
        <v>659</v>
      </c>
      <c r="R102" s="103" t="s">
        <v>660</v>
      </c>
      <c r="S102" s="104" t="s">
        <v>661</v>
      </c>
      <c r="T102" s="103">
        <v>17.2</v>
      </c>
      <c r="U102" s="103" t="s">
        <v>116</v>
      </c>
      <c r="V102" s="103">
        <v>17.2</v>
      </c>
      <c r="W102" s="103">
        <v>31.23</v>
      </c>
      <c r="X102" s="105">
        <v>0.44924751841178356</v>
      </c>
      <c r="Y102" s="103">
        <v>1000000</v>
      </c>
      <c r="Z102" s="103" t="s">
        <v>117</v>
      </c>
      <c r="AA102" s="102" t="s">
        <v>33</v>
      </c>
      <c r="AB102" s="102"/>
      <c r="AC102" s="106"/>
      <c r="AD102" s="102"/>
      <c r="AE102" s="103" t="s">
        <v>9</v>
      </c>
      <c r="AF102" s="107"/>
      <c r="AG102" s="102"/>
      <c r="AH102" s="103"/>
      <c r="AI102" s="103" t="s">
        <v>1</v>
      </c>
      <c r="AJ102" s="104"/>
      <c r="AK102" s="107">
        <v>45985</v>
      </c>
      <c r="AL102" s="104"/>
      <c r="AM102" s="104" t="s">
        <v>17</v>
      </c>
      <c r="AN102" s="107">
        <v>45995</v>
      </c>
      <c r="AO102" s="108"/>
    </row>
    <row r="103" spans="1:41" s="109" customFormat="1" x14ac:dyDescent="0.45">
      <c r="A103" s="99" t="s">
        <v>662</v>
      </c>
      <c r="B103" s="100">
        <v>45962</v>
      </c>
      <c r="C103" s="101">
        <v>2025</v>
      </c>
      <c r="D103" s="102" t="s">
        <v>105</v>
      </c>
      <c r="E103" s="102" t="s">
        <v>24</v>
      </c>
      <c r="F103" s="102" t="s">
        <v>123</v>
      </c>
      <c r="G103" s="102" t="s">
        <v>50</v>
      </c>
      <c r="H103" s="102" t="s">
        <v>585</v>
      </c>
      <c r="I103" s="102" t="s">
        <v>10</v>
      </c>
      <c r="J103" s="102" t="s">
        <v>604</v>
      </c>
      <c r="K103" s="102" t="s">
        <v>605</v>
      </c>
      <c r="L103" s="102" t="s">
        <v>127</v>
      </c>
      <c r="M103" s="102" t="s">
        <v>606</v>
      </c>
      <c r="N103" s="102" t="s">
        <v>607</v>
      </c>
      <c r="O103" s="103" t="s">
        <v>295</v>
      </c>
      <c r="P103" s="103" t="s">
        <v>112</v>
      </c>
      <c r="Q103" s="102" t="s">
        <v>663</v>
      </c>
      <c r="R103" s="103" t="s">
        <v>664</v>
      </c>
      <c r="S103" s="104" t="s">
        <v>665</v>
      </c>
      <c r="T103" s="103">
        <v>17.2</v>
      </c>
      <c r="U103" s="103" t="s">
        <v>116</v>
      </c>
      <c r="V103" s="103">
        <v>17.2</v>
      </c>
      <c r="W103" s="103">
        <v>31.23</v>
      </c>
      <c r="X103" s="105">
        <v>0.44924751841178356</v>
      </c>
      <c r="Y103" s="103">
        <v>1000000</v>
      </c>
      <c r="Z103" s="103" t="s">
        <v>117</v>
      </c>
      <c r="AA103" s="102" t="s">
        <v>33</v>
      </c>
      <c r="AB103" s="102"/>
      <c r="AC103" s="106"/>
      <c r="AD103" s="102"/>
      <c r="AE103" s="103" t="s">
        <v>9</v>
      </c>
      <c r="AF103" s="107"/>
      <c r="AG103" s="102"/>
      <c r="AH103" s="103"/>
      <c r="AI103" s="103" t="s">
        <v>1</v>
      </c>
      <c r="AJ103" s="104"/>
      <c r="AK103" s="107">
        <v>45985</v>
      </c>
      <c r="AL103" s="104"/>
      <c r="AM103" s="104" t="s">
        <v>17</v>
      </c>
      <c r="AN103" s="107">
        <v>45995</v>
      </c>
      <c r="AO103" s="108"/>
    </row>
    <row r="104" spans="1:41" s="109" customFormat="1" x14ac:dyDescent="0.45">
      <c r="A104" s="99" t="s">
        <v>666</v>
      </c>
      <c r="B104" s="100">
        <v>45962</v>
      </c>
      <c r="C104" s="101">
        <v>2025</v>
      </c>
      <c r="D104" s="102" t="s">
        <v>105</v>
      </c>
      <c r="E104" s="102" t="s">
        <v>24</v>
      </c>
      <c r="F104" s="102" t="s">
        <v>123</v>
      </c>
      <c r="G104" s="102" t="s">
        <v>50</v>
      </c>
      <c r="H104" s="102" t="s">
        <v>585</v>
      </c>
      <c r="I104" s="102" t="s">
        <v>10</v>
      </c>
      <c r="J104" s="102" t="s">
        <v>667</v>
      </c>
      <c r="K104" s="102" t="s">
        <v>668</v>
      </c>
      <c r="L104" s="102" t="s">
        <v>139</v>
      </c>
      <c r="M104" s="102" t="s">
        <v>669</v>
      </c>
      <c r="N104" s="102" t="s">
        <v>670</v>
      </c>
      <c r="O104" s="103" t="s">
        <v>295</v>
      </c>
      <c r="P104" s="103" t="s">
        <v>112</v>
      </c>
      <c r="Q104" s="102" t="s">
        <v>671</v>
      </c>
      <c r="R104" s="103" t="s">
        <v>672</v>
      </c>
      <c r="S104" s="104" t="s">
        <v>673</v>
      </c>
      <c r="T104" s="103">
        <v>0.01</v>
      </c>
      <c r="U104" s="103" t="s">
        <v>116</v>
      </c>
      <c r="V104" s="103">
        <v>0.01</v>
      </c>
      <c r="W104" s="103">
        <v>31.23</v>
      </c>
      <c r="X104" s="105">
        <v>0.99967979506884397</v>
      </c>
      <c r="Y104" s="103">
        <v>1000</v>
      </c>
      <c r="Z104" s="103" t="s">
        <v>117</v>
      </c>
      <c r="AA104" s="102" t="s">
        <v>33</v>
      </c>
      <c r="AB104" s="102" t="s">
        <v>571</v>
      </c>
      <c r="AC104" s="106"/>
      <c r="AD104" s="102"/>
      <c r="AE104" s="103" t="s">
        <v>9</v>
      </c>
      <c r="AF104" s="107"/>
      <c r="AG104" s="102"/>
      <c r="AH104" s="103"/>
      <c r="AI104" s="103" t="s">
        <v>1</v>
      </c>
      <c r="AJ104" s="104"/>
      <c r="AK104" s="107">
        <v>45985</v>
      </c>
      <c r="AL104" s="104"/>
      <c r="AM104" s="104" t="s">
        <v>17</v>
      </c>
      <c r="AN104" s="107">
        <v>45995</v>
      </c>
      <c r="AO104" s="108"/>
    </row>
    <row r="105" spans="1:41" s="109" customFormat="1" x14ac:dyDescent="0.45">
      <c r="A105" s="99" t="s">
        <v>674</v>
      </c>
      <c r="B105" s="100">
        <v>45962</v>
      </c>
      <c r="C105" s="101">
        <v>2025</v>
      </c>
      <c r="D105" s="102" t="s">
        <v>105</v>
      </c>
      <c r="E105" s="102" t="s">
        <v>24</v>
      </c>
      <c r="F105" s="102" t="s">
        <v>123</v>
      </c>
      <c r="G105" s="102" t="s">
        <v>50</v>
      </c>
      <c r="H105" s="102" t="s">
        <v>585</v>
      </c>
      <c r="I105" s="102" t="s">
        <v>10</v>
      </c>
      <c r="J105" s="102" t="s">
        <v>667</v>
      </c>
      <c r="K105" s="102" t="s">
        <v>668</v>
      </c>
      <c r="L105" s="102" t="s">
        <v>139</v>
      </c>
      <c r="M105" s="102" t="s">
        <v>669</v>
      </c>
      <c r="N105" s="102" t="s">
        <v>670</v>
      </c>
      <c r="O105" s="103" t="s">
        <v>295</v>
      </c>
      <c r="P105" s="103" t="s">
        <v>112</v>
      </c>
      <c r="Q105" s="102" t="s">
        <v>675</v>
      </c>
      <c r="R105" s="103" t="s">
        <v>676</v>
      </c>
      <c r="S105" s="104" t="s">
        <v>673</v>
      </c>
      <c r="T105" s="103">
        <v>0.01</v>
      </c>
      <c r="U105" s="103" t="s">
        <v>116</v>
      </c>
      <c r="V105" s="103">
        <v>0.01</v>
      </c>
      <c r="W105" s="103">
        <v>31.23</v>
      </c>
      <c r="X105" s="105">
        <v>0.99967979506884397</v>
      </c>
      <c r="Y105" s="103">
        <v>1000</v>
      </c>
      <c r="Z105" s="103" t="s">
        <v>117</v>
      </c>
      <c r="AA105" s="102" t="s">
        <v>33</v>
      </c>
      <c r="AB105" s="102" t="s">
        <v>571</v>
      </c>
      <c r="AC105" s="106"/>
      <c r="AD105" s="102"/>
      <c r="AE105" s="103" t="s">
        <v>9</v>
      </c>
      <c r="AF105" s="107"/>
      <c r="AG105" s="102"/>
      <c r="AH105" s="103"/>
      <c r="AI105" s="103" t="s">
        <v>1</v>
      </c>
      <c r="AJ105" s="104"/>
      <c r="AK105" s="107">
        <v>45985</v>
      </c>
      <c r="AL105" s="104"/>
      <c r="AM105" s="104" t="s">
        <v>17</v>
      </c>
      <c r="AN105" s="107">
        <v>45995</v>
      </c>
      <c r="AO105" s="108"/>
    </row>
    <row r="106" spans="1:41" s="109" customFormat="1" x14ac:dyDescent="0.45">
      <c r="A106" s="99" t="s">
        <v>677</v>
      </c>
      <c r="B106" s="100">
        <v>45962</v>
      </c>
      <c r="C106" s="101">
        <v>2025</v>
      </c>
      <c r="D106" s="102" t="s">
        <v>105</v>
      </c>
      <c r="E106" s="102" t="s">
        <v>24</v>
      </c>
      <c r="F106" s="102" t="s">
        <v>123</v>
      </c>
      <c r="G106" s="102" t="s">
        <v>50</v>
      </c>
      <c r="H106" s="102" t="s">
        <v>585</v>
      </c>
      <c r="I106" s="102" t="s">
        <v>10</v>
      </c>
      <c r="J106" s="102" t="s">
        <v>586</v>
      </c>
      <c r="K106" s="102" t="s">
        <v>587</v>
      </c>
      <c r="L106" s="102" t="s">
        <v>139</v>
      </c>
      <c r="M106" s="102" t="s">
        <v>558</v>
      </c>
      <c r="N106" s="102" t="s">
        <v>228</v>
      </c>
      <c r="O106" s="103" t="s">
        <v>678</v>
      </c>
      <c r="P106" s="103" t="s">
        <v>112</v>
      </c>
      <c r="Q106" s="102" t="s">
        <v>679</v>
      </c>
      <c r="R106" s="103" t="s">
        <v>680</v>
      </c>
      <c r="S106" s="104" t="s">
        <v>681</v>
      </c>
      <c r="T106" s="103">
        <v>0.64200000000000002</v>
      </c>
      <c r="U106" s="103" t="s">
        <v>116</v>
      </c>
      <c r="V106" s="103">
        <v>0.64200000000000002</v>
      </c>
      <c r="W106" s="103">
        <v>10.35</v>
      </c>
      <c r="X106" s="105">
        <v>0.93797101449275366</v>
      </c>
      <c r="Y106" s="103">
        <v>500</v>
      </c>
      <c r="Z106" s="103" t="s">
        <v>117</v>
      </c>
      <c r="AA106" s="102" t="s">
        <v>33</v>
      </c>
      <c r="AB106" s="102" t="s">
        <v>571</v>
      </c>
      <c r="AC106" s="106"/>
      <c r="AD106" s="102"/>
      <c r="AE106" s="103" t="s">
        <v>9</v>
      </c>
      <c r="AF106" s="107"/>
      <c r="AG106" s="102"/>
      <c r="AH106" s="103"/>
      <c r="AI106" s="103" t="s">
        <v>1</v>
      </c>
      <c r="AJ106" s="104"/>
      <c r="AK106" s="107">
        <v>45985</v>
      </c>
      <c r="AL106" s="104"/>
      <c r="AM106" s="104" t="s">
        <v>17</v>
      </c>
      <c r="AN106" s="107">
        <v>45995</v>
      </c>
      <c r="AO106" s="108"/>
    </row>
    <row r="107" spans="1:41" s="109" customFormat="1" x14ac:dyDescent="0.45">
      <c r="A107" s="99" t="s">
        <v>682</v>
      </c>
      <c r="B107" s="100">
        <v>45962</v>
      </c>
      <c r="C107" s="101">
        <v>2025</v>
      </c>
      <c r="D107" s="102" t="s">
        <v>105</v>
      </c>
      <c r="E107" s="102" t="s">
        <v>24</v>
      </c>
      <c r="F107" s="102" t="s">
        <v>123</v>
      </c>
      <c r="G107" s="102" t="s">
        <v>50</v>
      </c>
      <c r="H107" s="102" t="s">
        <v>585</v>
      </c>
      <c r="I107" s="102" t="s">
        <v>10</v>
      </c>
      <c r="J107" s="102" t="s">
        <v>604</v>
      </c>
      <c r="K107" s="102" t="s">
        <v>605</v>
      </c>
      <c r="L107" s="102" t="s">
        <v>127</v>
      </c>
      <c r="M107" s="102" t="s">
        <v>606</v>
      </c>
      <c r="N107" s="102" t="s">
        <v>607</v>
      </c>
      <c r="O107" s="103" t="s">
        <v>678</v>
      </c>
      <c r="P107" s="103" t="s">
        <v>112</v>
      </c>
      <c r="Q107" s="102" t="s">
        <v>683</v>
      </c>
      <c r="R107" s="103" t="s">
        <v>684</v>
      </c>
      <c r="S107" s="104" t="s">
        <v>685</v>
      </c>
      <c r="T107" s="103">
        <v>5.51</v>
      </c>
      <c r="U107" s="103" t="s">
        <v>116</v>
      </c>
      <c r="V107" s="103">
        <v>5.51</v>
      </c>
      <c r="W107" s="103">
        <v>10.35</v>
      </c>
      <c r="X107" s="105">
        <v>0.46763285024154588</v>
      </c>
      <c r="Y107" s="103">
        <v>1000000</v>
      </c>
      <c r="Z107" s="103" t="s">
        <v>117</v>
      </c>
      <c r="AA107" s="102" t="s">
        <v>33</v>
      </c>
      <c r="AB107" s="102"/>
      <c r="AC107" s="106"/>
      <c r="AD107" s="102"/>
      <c r="AE107" s="103" t="s">
        <v>9</v>
      </c>
      <c r="AF107" s="107"/>
      <c r="AG107" s="102"/>
      <c r="AH107" s="103"/>
      <c r="AI107" s="103" t="s">
        <v>2</v>
      </c>
      <c r="AJ107" s="104" t="s">
        <v>20</v>
      </c>
      <c r="AK107" s="107"/>
      <c r="AL107" s="104"/>
      <c r="AM107" s="104"/>
      <c r="AN107" s="107"/>
      <c r="AO107" s="108"/>
    </row>
    <row r="108" spans="1:41" s="109" customFormat="1" x14ac:dyDescent="0.45">
      <c r="A108" s="99" t="s">
        <v>686</v>
      </c>
      <c r="B108" s="100">
        <v>45962</v>
      </c>
      <c r="C108" s="101">
        <v>2025</v>
      </c>
      <c r="D108" s="102" t="s">
        <v>105</v>
      </c>
      <c r="E108" s="102" t="s">
        <v>24</v>
      </c>
      <c r="F108" s="102" t="s">
        <v>123</v>
      </c>
      <c r="G108" s="102" t="s">
        <v>50</v>
      </c>
      <c r="H108" s="102" t="s">
        <v>585</v>
      </c>
      <c r="I108" s="102" t="s">
        <v>10</v>
      </c>
      <c r="J108" s="102" t="s">
        <v>687</v>
      </c>
      <c r="K108" s="102" t="s">
        <v>688</v>
      </c>
      <c r="L108" s="102" t="s">
        <v>149</v>
      </c>
      <c r="M108" s="102" t="s">
        <v>689</v>
      </c>
      <c r="N108" s="102" t="s">
        <v>690</v>
      </c>
      <c r="O108" s="103" t="s">
        <v>691</v>
      </c>
      <c r="P108" s="103" t="s">
        <v>112</v>
      </c>
      <c r="Q108" s="102" t="s">
        <v>692</v>
      </c>
      <c r="R108" s="103" t="s">
        <v>693</v>
      </c>
      <c r="S108" s="104" t="s">
        <v>694</v>
      </c>
      <c r="T108" s="103">
        <v>14.76</v>
      </c>
      <c r="U108" s="103" t="s">
        <v>116</v>
      </c>
      <c r="V108" s="103">
        <v>14.76</v>
      </c>
      <c r="W108" s="103">
        <v>28.59</v>
      </c>
      <c r="X108" s="105">
        <v>0.48373557187827915</v>
      </c>
      <c r="Y108" s="103">
        <v>100000</v>
      </c>
      <c r="Z108" s="103" t="s">
        <v>117</v>
      </c>
      <c r="AA108" s="102" t="s">
        <v>33</v>
      </c>
      <c r="AB108" s="102"/>
      <c r="AC108" s="106"/>
      <c r="AD108" s="102"/>
      <c r="AE108" s="103" t="s">
        <v>9</v>
      </c>
      <c r="AF108" s="107"/>
      <c r="AG108" s="102"/>
      <c r="AH108" s="103"/>
      <c r="AI108" s="103" t="s">
        <v>1</v>
      </c>
      <c r="AJ108" s="104"/>
      <c r="AK108" s="107">
        <v>45985</v>
      </c>
      <c r="AL108" s="104"/>
      <c r="AM108" s="104" t="s">
        <v>17</v>
      </c>
      <c r="AN108" s="107">
        <v>45995</v>
      </c>
      <c r="AO108" s="108"/>
    </row>
    <row r="109" spans="1:41" s="109" customFormat="1" x14ac:dyDescent="0.45">
      <c r="A109" s="99" t="s">
        <v>695</v>
      </c>
      <c r="B109" s="100">
        <v>45962</v>
      </c>
      <c r="C109" s="101">
        <v>2025</v>
      </c>
      <c r="D109" s="102" t="s">
        <v>105</v>
      </c>
      <c r="E109" s="102" t="s">
        <v>24</v>
      </c>
      <c r="F109" s="102" t="s">
        <v>123</v>
      </c>
      <c r="G109" s="102" t="s">
        <v>50</v>
      </c>
      <c r="H109" s="102" t="s">
        <v>585</v>
      </c>
      <c r="I109" s="102" t="s">
        <v>10</v>
      </c>
      <c r="J109" s="102" t="s">
        <v>696</v>
      </c>
      <c r="K109" s="102" t="s">
        <v>697</v>
      </c>
      <c r="L109" s="102" t="s">
        <v>698</v>
      </c>
      <c r="M109" s="102" t="s">
        <v>699</v>
      </c>
      <c r="N109" s="102" t="s">
        <v>700</v>
      </c>
      <c r="O109" s="103" t="s">
        <v>701</v>
      </c>
      <c r="P109" s="103" t="s">
        <v>112</v>
      </c>
      <c r="Q109" s="102" t="s">
        <v>702</v>
      </c>
      <c r="R109" s="103" t="s">
        <v>703</v>
      </c>
      <c r="S109" s="104" t="s">
        <v>704</v>
      </c>
      <c r="T109" s="103">
        <v>0.01</v>
      </c>
      <c r="U109" s="103" t="s">
        <v>116</v>
      </c>
      <c r="V109" s="103">
        <v>0.01</v>
      </c>
      <c r="W109" s="103"/>
      <c r="X109" s="105"/>
      <c r="Y109" s="103">
        <v>1</v>
      </c>
      <c r="Z109" s="103" t="s">
        <v>117</v>
      </c>
      <c r="AA109" s="102" t="s">
        <v>33</v>
      </c>
      <c r="AB109" s="102"/>
      <c r="AC109" s="106"/>
      <c r="AD109" s="102"/>
      <c r="AE109" s="103" t="s">
        <v>9</v>
      </c>
      <c r="AF109" s="107"/>
      <c r="AG109" s="102"/>
      <c r="AH109" s="103"/>
      <c r="AI109" s="103" t="s">
        <v>1</v>
      </c>
      <c r="AJ109" s="104"/>
      <c r="AK109" s="107">
        <v>45985</v>
      </c>
      <c r="AL109" s="104"/>
      <c r="AM109" s="104" t="s">
        <v>17</v>
      </c>
      <c r="AN109" s="107">
        <v>45995</v>
      </c>
      <c r="AO109" s="108"/>
    </row>
    <row r="110" spans="1:41" s="109" customFormat="1" x14ac:dyDescent="0.45">
      <c r="A110" s="99" t="s">
        <v>705</v>
      </c>
      <c r="B110" s="100">
        <v>45901</v>
      </c>
      <c r="C110" s="101">
        <v>2025</v>
      </c>
      <c r="D110" s="102" t="s">
        <v>105</v>
      </c>
      <c r="E110" s="102" t="s">
        <v>24</v>
      </c>
      <c r="F110" s="102" t="s">
        <v>123</v>
      </c>
      <c r="G110" s="102" t="s">
        <v>50</v>
      </c>
      <c r="H110" s="102" t="s">
        <v>585</v>
      </c>
      <c r="I110" s="102" t="s">
        <v>10</v>
      </c>
      <c r="J110" s="102" t="s">
        <v>706</v>
      </c>
      <c r="K110" s="102" t="s">
        <v>707</v>
      </c>
      <c r="L110" s="102" t="s">
        <v>139</v>
      </c>
      <c r="M110" s="102" t="s">
        <v>708</v>
      </c>
      <c r="N110" s="102" t="s">
        <v>709</v>
      </c>
      <c r="O110" s="103" t="s">
        <v>34</v>
      </c>
      <c r="P110" s="103" t="s">
        <v>112</v>
      </c>
      <c r="Q110" s="102" t="s">
        <v>710</v>
      </c>
      <c r="R110" s="103" t="s">
        <v>711</v>
      </c>
      <c r="S110" s="104" t="s">
        <v>712</v>
      </c>
      <c r="T110" s="103">
        <v>1</v>
      </c>
      <c r="U110" s="103" t="s">
        <v>116</v>
      </c>
      <c r="V110" s="103">
        <v>1</v>
      </c>
      <c r="W110" s="103"/>
      <c r="X110" s="105"/>
      <c r="Y110" s="103">
        <v>1</v>
      </c>
      <c r="Z110" s="103" t="s">
        <v>117</v>
      </c>
      <c r="AA110" s="102" t="s">
        <v>33</v>
      </c>
      <c r="AB110" s="102"/>
      <c r="AC110" s="106"/>
      <c r="AD110" s="102"/>
      <c r="AE110" s="103" t="s">
        <v>9</v>
      </c>
      <c r="AF110" s="107"/>
      <c r="AG110" s="102"/>
      <c r="AH110" s="103"/>
      <c r="AI110" s="103" t="s">
        <v>1</v>
      </c>
      <c r="AJ110" s="104"/>
      <c r="AK110" s="107">
        <v>45985</v>
      </c>
      <c r="AL110" s="104"/>
      <c r="AM110" s="104" t="s">
        <v>17</v>
      </c>
      <c r="AN110" s="107">
        <v>45995</v>
      </c>
      <c r="AO110" s="108"/>
    </row>
    <row r="111" spans="1:41" s="109" customFormat="1" x14ac:dyDescent="0.45">
      <c r="A111" s="99" t="s">
        <v>713</v>
      </c>
      <c r="B111" s="100">
        <v>45901</v>
      </c>
      <c r="C111" s="101">
        <v>2025</v>
      </c>
      <c r="D111" s="102" t="s">
        <v>105</v>
      </c>
      <c r="E111" s="102" t="s">
        <v>24</v>
      </c>
      <c r="F111" s="102" t="s">
        <v>123</v>
      </c>
      <c r="G111" s="102" t="s">
        <v>50</v>
      </c>
      <c r="H111" s="102" t="s">
        <v>585</v>
      </c>
      <c r="I111" s="102" t="s">
        <v>10</v>
      </c>
      <c r="J111" s="102" t="s">
        <v>586</v>
      </c>
      <c r="K111" s="102" t="s">
        <v>587</v>
      </c>
      <c r="L111" s="102" t="s">
        <v>139</v>
      </c>
      <c r="M111" s="102" t="s">
        <v>558</v>
      </c>
      <c r="N111" s="102" t="s">
        <v>228</v>
      </c>
      <c r="O111" s="103" t="s">
        <v>34</v>
      </c>
      <c r="P111" s="103" t="s">
        <v>112</v>
      </c>
      <c r="Q111" s="102" t="s">
        <v>714</v>
      </c>
      <c r="R111" s="103" t="s">
        <v>715</v>
      </c>
      <c r="S111" s="104" t="s">
        <v>716</v>
      </c>
      <c r="T111" s="103">
        <v>0.96599999999999997</v>
      </c>
      <c r="U111" s="103" t="s">
        <v>116</v>
      </c>
      <c r="V111" s="103">
        <v>0.96599999999999997</v>
      </c>
      <c r="W111" s="103"/>
      <c r="X111" s="105"/>
      <c r="Y111" s="103">
        <v>500</v>
      </c>
      <c r="Z111" s="103" t="s">
        <v>117</v>
      </c>
      <c r="AA111" s="102" t="s">
        <v>33</v>
      </c>
      <c r="AB111" s="102"/>
      <c r="AC111" s="106"/>
      <c r="AD111" s="102"/>
      <c r="AE111" s="103" t="s">
        <v>9</v>
      </c>
      <c r="AF111" s="107"/>
      <c r="AG111" s="102"/>
      <c r="AH111" s="103"/>
      <c r="AI111" s="103" t="s">
        <v>1</v>
      </c>
      <c r="AJ111" s="104"/>
      <c r="AK111" s="107">
        <v>46024</v>
      </c>
      <c r="AL111" s="104"/>
      <c r="AM111" s="104" t="s">
        <v>17</v>
      </c>
      <c r="AN111" s="107">
        <v>46034</v>
      </c>
      <c r="AO111" s="108"/>
    </row>
    <row r="112" spans="1:41" s="109" customFormat="1" x14ac:dyDescent="0.45">
      <c r="A112" s="99" t="s">
        <v>717</v>
      </c>
      <c r="B112" s="100">
        <v>45839</v>
      </c>
      <c r="C112" s="101">
        <v>2025</v>
      </c>
      <c r="D112" s="102" t="s">
        <v>105</v>
      </c>
      <c r="E112" s="102" t="s">
        <v>24</v>
      </c>
      <c r="F112" s="102" t="s">
        <v>123</v>
      </c>
      <c r="G112" s="102" t="s">
        <v>50</v>
      </c>
      <c r="H112" s="102" t="s">
        <v>585</v>
      </c>
      <c r="I112" s="102" t="s">
        <v>10</v>
      </c>
      <c r="J112" s="102" t="s">
        <v>718</v>
      </c>
      <c r="K112" s="102" t="s">
        <v>719</v>
      </c>
      <c r="L112" s="102" t="s">
        <v>149</v>
      </c>
      <c r="M112" s="102" t="s">
        <v>720</v>
      </c>
      <c r="N112" s="102" t="s">
        <v>721</v>
      </c>
      <c r="O112" s="103" t="s">
        <v>34</v>
      </c>
      <c r="P112" s="103" t="s">
        <v>112</v>
      </c>
      <c r="Q112" s="102" t="s">
        <v>722</v>
      </c>
      <c r="R112" s="103" t="s">
        <v>723</v>
      </c>
      <c r="S112" s="104" t="s">
        <v>724</v>
      </c>
      <c r="T112" s="103">
        <v>0.55000000000000004</v>
      </c>
      <c r="U112" s="103" t="s">
        <v>116</v>
      </c>
      <c r="V112" s="103">
        <v>0.55000000000000004</v>
      </c>
      <c r="W112" s="103"/>
      <c r="X112" s="105"/>
      <c r="Y112" s="103">
        <v>3000</v>
      </c>
      <c r="Z112" s="103" t="s">
        <v>117</v>
      </c>
      <c r="AA112" s="102" t="s">
        <v>33</v>
      </c>
      <c r="AB112" s="102"/>
      <c r="AC112" s="106"/>
      <c r="AD112" s="102"/>
      <c r="AE112" s="103" t="s">
        <v>9</v>
      </c>
      <c r="AF112" s="107"/>
      <c r="AG112" s="102"/>
      <c r="AH112" s="103"/>
      <c r="AI112" s="103" t="s">
        <v>1</v>
      </c>
      <c r="AJ112" s="104"/>
      <c r="AK112" s="107">
        <v>46021</v>
      </c>
      <c r="AL112" s="104"/>
      <c r="AM112" s="104" t="s">
        <v>17</v>
      </c>
      <c r="AN112" s="107">
        <v>46031</v>
      </c>
      <c r="AO112" s="108"/>
    </row>
    <row r="113" spans="1:42" s="109" customFormat="1" x14ac:dyDescent="0.45">
      <c r="A113" s="99" t="s">
        <v>725</v>
      </c>
      <c r="B113" s="100">
        <v>45839</v>
      </c>
      <c r="C113" s="101">
        <v>2025</v>
      </c>
      <c r="D113" s="102" t="s">
        <v>105</v>
      </c>
      <c r="E113" s="102" t="s">
        <v>24</v>
      </c>
      <c r="F113" s="102" t="s">
        <v>123</v>
      </c>
      <c r="G113" s="102" t="s">
        <v>50</v>
      </c>
      <c r="H113" s="102" t="s">
        <v>585</v>
      </c>
      <c r="I113" s="102" t="s">
        <v>10</v>
      </c>
      <c r="J113" s="102" t="s">
        <v>706</v>
      </c>
      <c r="K113" s="102" t="s">
        <v>707</v>
      </c>
      <c r="L113" s="102" t="s">
        <v>139</v>
      </c>
      <c r="M113" s="102" t="s">
        <v>708</v>
      </c>
      <c r="N113" s="102" t="s">
        <v>709</v>
      </c>
      <c r="O113" s="103" t="s">
        <v>34</v>
      </c>
      <c r="P113" s="103" t="s">
        <v>112</v>
      </c>
      <c r="Q113" s="102" t="s">
        <v>726</v>
      </c>
      <c r="R113" s="103" t="s">
        <v>727</v>
      </c>
      <c r="S113" s="104" t="s">
        <v>728</v>
      </c>
      <c r="T113" s="103">
        <v>1</v>
      </c>
      <c r="U113" s="103" t="s">
        <v>116</v>
      </c>
      <c r="V113" s="103">
        <v>1</v>
      </c>
      <c r="W113" s="103"/>
      <c r="X113" s="105"/>
      <c r="Y113" s="103">
        <v>1</v>
      </c>
      <c r="Z113" s="103" t="s">
        <v>117</v>
      </c>
      <c r="AA113" s="102" t="s">
        <v>33</v>
      </c>
      <c r="AB113" s="102"/>
      <c r="AC113" s="106"/>
      <c r="AD113" s="102"/>
      <c r="AE113" s="103" t="s">
        <v>9</v>
      </c>
      <c r="AF113" s="107"/>
      <c r="AG113" s="102"/>
      <c r="AH113" s="103"/>
      <c r="AI113" s="103" t="s">
        <v>1</v>
      </c>
      <c r="AJ113" s="104"/>
      <c r="AK113" s="107">
        <v>45985</v>
      </c>
      <c r="AL113" s="104"/>
      <c r="AM113" s="104" t="s">
        <v>17</v>
      </c>
      <c r="AN113" s="107">
        <v>45995</v>
      </c>
      <c r="AO113" s="108"/>
    </row>
    <row r="114" spans="1:42" s="109" customFormat="1" x14ac:dyDescent="0.45">
      <c r="A114" s="99" t="s">
        <v>729</v>
      </c>
      <c r="B114" s="100">
        <v>45962</v>
      </c>
      <c r="C114" s="101">
        <v>2025</v>
      </c>
      <c r="D114" s="102" t="s">
        <v>105</v>
      </c>
      <c r="E114" s="102" t="s">
        <v>24</v>
      </c>
      <c r="F114" s="102" t="s">
        <v>123</v>
      </c>
      <c r="G114" s="102" t="s">
        <v>50</v>
      </c>
      <c r="H114" s="102" t="s">
        <v>585</v>
      </c>
      <c r="I114" s="102" t="s">
        <v>10</v>
      </c>
      <c r="J114" s="102" t="s">
        <v>556</v>
      </c>
      <c r="K114" s="102" t="s">
        <v>557</v>
      </c>
      <c r="L114" s="102" t="s">
        <v>149</v>
      </c>
      <c r="M114" s="102" t="s">
        <v>558</v>
      </c>
      <c r="N114" s="102" t="s">
        <v>228</v>
      </c>
      <c r="O114" s="103" t="s">
        <v>34</v>
      </c>
      <c r="P114" s="103" t="s">
        <v>112</v>
      </c>
      <c r="Q114" s="102" t="s">
        <v>730</v>
      </c>
      <c r="R114" s="103" t="s">
        <v>731</v>
      </c>
      <c r="S114" s="104" t="s">
        <v>716</v>
      </c>
      <c r="T114" s="103">
        <v>0.996</v>
      </c>
      <c r="U114" s="103" t="s">
        <v>116</v>
      </c>
      <c r="V114" s="103">
        <v>0.996</v>
      </c>
      <c r="W114" s="103"/>
      <c r="X114" s="105"/>
      <c r="Y114" s="103">
        <v>100000</v>
      </c>
      <c r="Z114" s="103" t="s">
        <v>117</v>
      </c>
      <c r="AA114" s="102" t="s">
        <v>33</v>
      </c>
      <c r="AB114" s="102" t="s">
        <v>222</v>
      </c>
      <c r="AC114" s="106"/>
      <c r="AD114" s="102"/>
      <c r="AE114" s="103" t="s">
        <v>9</v>
      </c>
      <c r="AF114" s="107"/>
      <c r="AG114" s="102"/>
      <c r="AH114" s="103"/>
      <c r="AI114" s="103" t="s">
        <v>1</v>
      </c>
      <c r="AJ114" s="104"/>
      <c r="AK114" s="107">
        <v>46021</v>
      </c>
      <c r="AL114" s="104"/>
      <c r="AM114" s="104" t="s">
        <v>17</v>
      </c>
      <c r="AN114" s="107">
        <v>46031</v>
      </c>
      <c r="AO114" s="108"/>
    </row>
    <row r="115" spans="1:42" s="109" customFormat="1" x14ac:dyDescent="0.45">
      <c r="A115" s="99" t="s">
        <v>732</v>
      </c>
      <c r="B115" s="100">
        <v>45962</v>
      </c>
      <c r="C115" s="101">
        <v>2025</v>
      </c>
      <c r="D115" s="102" t="s">
        <v>105</v>
      </c>
      <c r="E115" s="102" t="s">
        <v>24</v>
      </c>
      <c r="F115" s="102" t="s">
        <v>123</v>
      </c>
      <c r="G115" s="102" t="s">
        <v>50</v>
      </c>
      <c r="H115" s="102" t="s">
        <v>585</v>
      </c>
      <c r="I115" s="102" t="s">
        <v>10</v>
      </c>
      <c r="J115" s="102" t="s">
        <v>556</v>
      </c>
      <c r="K115" s="102" t="s">
        <v>557</v>
      </c>
      <c r="L115" s="102" t="s">
        <v>149</v>
      </c>
      <c r="M115" s="102" t="s">
        <v>558</v>
      </c>
      <c r="N115" s="102" t="s">
        <v>228</v>
      </c>
      <c r="O115" s="103" t="s">
        <v>34</v>
      </c>
      <c r="P115" s="103" t="s">
        <v>112</v>
      </c>
      <c r="Q115" s="102" t="s">
        <v>733</v>
      </c>
      <c r="R115" s="103" t="s">
        <v>734</v>
      </c>
      <c r="S115" s="104" t="s">
        <v>735</v>
      </c>
      <c r="T115" s="103">
        <v>0.996</v>
      </c>
      <c r="U115" s="103" t="s">
        <v>116</v>
      </c>
      <c r="V115" s="103">
        <v>0.996</v>
      </c>
      <c r="W115" s="103"/>
      <c r="X115" s="105"/>
      <c r="Y115" s="103">
        <v>100000</v>
      </c>
      <c r="Z115" s="103" t="s">
        <v>117</v>
      </c>
      <c r="AA115" s="102" t="s">
        <v>33</v>
      </c>
      <c r="AB115" s="102" t="s">
        <v>222</v>
      </c>
      <c r="AC115" s="106"/>
      <c r="AD115" s="102"/>
      <c r="AE115" s="103" t="s">
        <v>9</v>
      </c>
      <c r="AF115" s="107"/>
      <c r="AG115" s="102"/>
      <c r="AH115" s="103"/>
      <c r="AI115" s="103" t="s">
        <v>1</v>
      </c>
      <c r="AJ115" s="104"/>
      <c r="AK115" s="107">
        <v>46021</v>
      </c>
      <c r="AL115" s="104"/>
      <c r="AM115" s="104" t="s">
        <v>17</v>
      </c>
      <c r="AN115" s="107">
        <v>46031</v>
      </c>
      <c r="AO115" s="108"/>
    </row>
    <row r="116" spans="1:42" s="109" customFormat="1" x14ac:dyDescent="0.45">
      <c r="A116" s="99" t="s">
        <v>736</v>
      </c>
      <c r="B116" s="100">
        <v>45962</v>
      </c>
      <c r="C116" s="101">
        <v>2025</v>
      </c>
      <c r="D116" s="102" t="s">
        <v>105</v>
      </c>
      <c r="E116" s="102" t="s">
        <v>24</v>
      </c>
      <c r="F116" s="102" t="s">
        <v>123</v>
      </c>
      <c r="G116" s="102" t="s">
        <v>50</v>
      </c>
      <c r="H116" s="102" t="s">
        <v>585</v>
      </c>
      <c r="I116" s="102" t="s">
        <v>10</v>
      </c>
      <c r="J116" s="102" t="s">
        <v>548</v>
      </c>
      <c r="K116" s="102" t="s">
        <v>549</v>
      </c>
      <c r="L116" s="102" t="s">
        <v>388</v>
      </c>
      <c r="M116" s="102" t="s">
        <v>550</v>
      </c>
      <c r="N116" s="102" t="s">
        <v>228</v>
      </c>
      <c r="O116" s="103" t="s">
        <v>737</v>
      </c>
      <c r="P116" s="103" t="s">
        <v>112</v>
      </c>
      <c r="Q116" s="102" t="s">
        <v>738</v>
      </c>
      <c r="R116" s="103" t="s">
        <v>739</v>
      </c>
      <c r="S116" s="104" t="s">
        <v>740</v>
      </c>
      <c r="T116" s="103">
        <v>0.97599999999999998</v>
      </c>
      <c r="U116" s="103" t="s">
        <v>116</v>
      </c>
      <c r="V116" s="103">
        <v>0.97599999999999998</v>
      </c>
      <c r="W116" s="103"/>
      <c r="X116" s="105"/>
      <c r="Y116" s="103">
        <v>50000</v>
      </c>
      <c r="Z116" s="103" t="s">
        <v>117</v>
      </c>
      <c r="AA116" s="102" t="s">
        <v>33</v>
      </c>
      <c r="AB116" s="102" t="s">
        <v>222</v>
      </c>
      <c r="AC116" s="106"/>
      <c r="AD116" s="102"/>
      <c r="AE116" s="103" t="s">
        <v>9</v>
      </c>
      <c r="AF116" s="107"/>
      <c r="AG116" s="102"/>
      <c r="AH116" s="103"/>
      <c r="AI116" s="103" t="s">
        <v>1</v>
      </c>
      <c r="AJ116" s="104"/>
      <c r="AK116" s="107">
        <v>46021</v>
      </c>
      <c r="AL116" s="104"/>
      <c r="AM116" s="104" t="s">
        <v>17</v>
      </c>
      <c r="AN116" s="107">
        <v>46031</v>
      </c>
      <c r="AO116" s="108"/>
    </row>
    <row r="117" spans="1:42" s="109" customFormat="1" x14ac:dyDescent="0.45">
      <c r="A117" s="99" t="s">
        <v>741</v>
      </c>
      <c r="B117" s="100">
        <v>45962</v>
      </c>
      <c r="C117" s="101">
        <v>2025</v>
      </c>
      <c r="D117" s="102" t="s">
        <v>105</v>
      </c>
      <c r="E117" s="102" t="s">
        <v>24</v>
      </c>
      <c r="F117" s="102" t="s">
        <v>123</v>
      </c>
      <c r="G117" s="102" t="s">
        <v>50</v>
      </c>
      <c r="H117" s="102" t="s">
        <v>585</v>
      </c>
      <c r="I117" s="102" t="s">
        <v>10</v>
      </c>
      <c r="J117" s="102" t="s">
        <v>586</v>
      </c>
      <c r="K117" s="102" t="s">
        <v>587</v>
      </c>
      <c r="L117" s="102" t="s">
        <v>139</v>
      </c>
      <c r="M117" s="102" t="s">
        <v>558</v>
      </c>
      <c r="N117" s="102" t="s">
        <v>228</v>
      </c>
      <c r="O117" s="103" t="s">
        <v>737</v>
      </c>
      <c r="P117" s="103" t="s">
        <v>112</v>
      </c>
      <c r="Q117" s="102" t="s">
        <v>742</v>
      </c>
      <c r="R117" s="103" t="s">
        <v>743</v>
      </c>
      <c r="S117" s="104" t="s">
        <v>744</v>
      </c>
      <c r="T117" s="103">
        <v>0.96599999999999997</v>
      </c>
      <c r="U117" s="103" t="s">
        <v>116</v>
      </c>
      <c r="V117" s="103">
        <v>0.96599999999999997</v>
      </c>
      <c r="W117" s="103"/>
      <c r="X117" s="105"/>
      <c r="Y117" s="103">
        <v>500</v>
      </c>
      <c r="Z117" s="103" t="s">
        <v>117</v>
      </c>
      <c r="AA117" s="102" t="s">
        <v>33</v>
      </c>
      <c r="AB117" s="102"/>
      <c r="AC117" s="106"/>
      <c r="AD117" s="102"/>
      <c r="AE117" s="103" t="s">
        <v>9</v>
      </c>
      <c r="AF117" s="107"/>
      <c r="AG117" s="102"/>
      <c r="AH117" s="103"/>
      <c r="AI117" s="103" t="s">
        <v>1</v>
      </c>
      <c r="AJ117" s="104"/>
      <c r="AK117" s="107">
        <v>46024</v>
      </c>
      <c r="AL117" s="104"/>
      <c r="AM117" s="104" t="s">
        <v>17</v>
      </c>
      <c r="AN117" s="107">
        <v>46034</v>
      </c>
      <c r="AO117" s="108"/>
    </row>
    <row r="118" spans="1:42" s="109" customFormat="1" x14ac:dyDescent="0.45">
      <c r="A118" s="99" t="s">
        <v>745</v>
      </c>
      <c r="B118" s="100">
        <v>45870</v>
      </c>
      <c r="C118" s="101">
        <v>2025</v>
      </c>
      <c r="D118" s="102" t="s">
        <v>105</v>
      </c>
      <c r="E118" s="102" t="s">
        <v>24</v>
      </c>
      <c r="F118" s="102" t="s">
        <v>123</v>
      </c>
      <c r="G118" s="102" t="s">
        <v>50</v>
      </c>
      <c r="H118" s="102" t="s">
        <v>585</v>
      </c>
      <c r="I118" s="102" t="s">
        <v>10</v>
      </c>
      <c r="J118" s="102" t="s">
        <v>604</v>
      </c>
      <c r="K118" s="102" t="s">
        <v>605</v>
      </c>
      <c r="L118" s="102" t="s">
        <v>127</v>
      </c>
      <c r="M118" s="102" t="s">
        <v>606</v>
      </c>
      <c r="N118" s="102" t="s">
        <v>607</v>
      </c>
      <c r="O118" s="103" t="s">
        <v>253</v>
      </c>
      <c r="P118" s="103" t="s">
        <v>112</v>
      </c>
      <c r="Q118" s="102" t="s">
        <v>746</v>
      </c>
      <c r="R118" s="103" t="s">
        <v>747</v>
      </c>
      <c r="S118" s="104" t="s">
        <v>748</v>
      </c>
      <c r="T118" s="103">
        <v>2.69</v>
      </c>
      <c r="U118" s="103" t="s">
        <v>293</v>
      </c>
      <c r="V118" s="103">
        <v>3.1</v>
      </c>
      <c r="W118" s="103">
        <v>7.04</v>
      </c>
      <c r="X118" s="105">
        <v>0.55965909090909094</v>
      </c>
      <c r="Y118" s="103">
        <v>1000000</v>
      </c>
      <c r="Z118" s="103" t="s">
        <v>117</v>
      </c>
      <c r="AA118" s="102" t="s">
        <v>33</v>
      </c>
      <c r="AB118" s="102" t="s">
        <v>554</v>
      </c>
      <c r="AC118" s="106"/>
      <c r="AD118" s="102"/>
      <c r="AE118" s="103" t="s">
        <v>9</v>
      </c>
      <c r="AF118" s="107"/>
      <c r="AG118" s="102"/>
      <c r="AH118" s="103"/>
      <c r="AI118" s="103" t="s">
        <v>2</v>
      </c>
      <c r="AJ118" s="104" t="s">
        <v>20</v>
      </c>
      <c r="AK118" s="107"/>
      <c r="AL118" s="104"/>
      <c r="AM118" s="104"/>
      <c r="AN118" s="107"/>
      <c r="AO118" s="108"/>
    </row>
    <row r="119" spans="1:42" s="109" customFormat="1" x14ac:dyDescent="0.45">
      <c r="A119" s="99" t="s">
        <v>749</v>
      </c>
      <c r="B119" s="100">
        <v>45870</v>
      </c>
      <c r="C119" s="101">
        <v>2025</v>
      </c>
      <c r="D119" s="102" t="s">
        <v>105</v>
      </c>
      <c r="E119" s="102" t="s">
        <v>24</v>
      </c>
      <c r="F119" s="102" t="s">
        <v>123</v>
      </c>
      <c r="G119" s="102" t="s">
        <v>50</v>
      </c>
      <c r="H119" s="102" t="s">
        <v>585</v>
      </c>
      <c r="I119" s="102" t="s">
        <v>10</v>
      </c>
      <c r="J119" s="102" t="s">
        <v>563</v>
      </c>
      <c r="K119" s="102" t="s">
        <v>564</v>
      </c>
      <c r="L119" s="102" t="s">
        <v>565</v>
      </c>
      <c r="M119" s="102" t="s">
        <v>566</v>
      </c>
      <c r="N119" s="102" t="s">
        <v>567</v>
      </c>
      <c r="O119" s="103" t="s">
        <v>34</v>
      </c>
      <c r="P119" s="103" t="s">
        <v>112</v>
      </c>
      <c r="Q119" s="102" t="s">
        <v>750</v>
      </c>
      <c r="R119" s="103" t="s">
        <v>751</v>
      </c>
      <c r="S119" s="104" t="s">
        <v>752</v>
      </c>
      <c r="T119" s="103">
        <v>8.6999999999999994E-3</v>
      </c>
      <c r="U119" s="103" t="s">
        <v>293</v>
      </c>
      <c r="V119" s="103">
        <v>0.01</v>
      </c>
      <c r="W119" s="103"/>
      <c r="X119" s="105"/>
      <c r="Y119" s="103">
        <v>1</v>
      </c>
      <c r="Z119" s="103" t="s">
        <v>117</v>
      </c>
      <c r="AA119" s="102" t="s">
        <v>33</v>
      </c>
      <c r="AB119" s="102"/>
      <c r="AC119" s="106"/>
      <c r="AD119" s="102"/>
      <c r="AE119" s="103" t="s">
        <v>9</v>
      </c>
      <c r="AF119" s="107"/>
      <c r="AG119" s="102"/>
      <c r="AH119" s="103"/>
      <c r="AI119" s="103" t="s">
        <v>1</v>
      </c>
      <c r="AJ119" s="104"/>
      <c r="AK119" s="107">
        <v>45985</v>
      </c>
      <c r="AL119" s="104"/>
      <c r="AM119" s="104" t="s">
        <v>17</v>
      </c>
      <c r="AN119" s="107">
        <v>45995</v>
      </c>
      <c r="AO119" s="108"/>
    </row>
    <row r="120" spans="1:42" s="109" customFormat="1" x14ac:dyDescent="0.45">
      <c r="A120" s="99" t="s">
        <v>753</v>
      </c>
      <c r="B120" s="100">
        <v>45870</v>
      </c>
      <c r="C120" s="101">
        <v>2025</v>
      </c>
      <c r="D120" s="102" t="s">
        <v>105</v>
      </c>
      <c r="E120" s="102" t="s">
        <v>24</v>
      </c>
      <c r="F120" s="102" t="s">
        <v>123</v>
      </c>
      <c r="G120" s="102" t="s">
        <v>50</v>
      </c>
      <c r="H120" s="102" t="s">
        <v>585</v>
      </c>
      <c r="I120" s="102" t="s">
        <v>10</v>
      </c>
      <c r="J120" s="102" t="s">
        <v>563</v>
      </c>
      <c r="K120" s="102" t="s">
        <v>564</v>
      </c>
      <c r="L120" s="102" t="s">
        <v>565</v>
      </c>
      <c r="M120" s="102" t="s">
        <v>566</v>
      </c>
      <c r="N120" s="102" t="s">
        <v>567</v>
      </c>
      <c r="O120" s="103" t="s">
        <v>34</v>
      </c>
      <c r="P120" s="103" t="s">
        <v>112</v>
      </c>
      <c r="Q120" s="102" t="s">
        <v>754</v>
      </c>
      <c r="R120" s="103" t="s">
        <v>755</v>
      </c>
      <c r="S120" s="104" t="s">
        <v>752</v>
      </c>
      <c r="T120" s="103">
        <v>8.6999999999999994E-3</v>
      </c>
      <c r="U120" s="103" t="s">
        <v>293</v>
      </c>
      <c r="V120" s="103">
        <v>0.01</v>
      </c>
      <c r="W120" s="103"/>
      <c r="X120" s="105"/>
      <c r="Y120" s="103">
        <v>1</v>
      </c>
      <c r="Z120" s="103" t="s">
        <v>117</v>
      </c>
      <c r="AA120" s="102" t="s">
        <v>33</v>
      </c>
      <c r="AB120" s="102"/>
      <c r="AC120" s="106"/>
      <c r="AD120" s="102"/>
      <c r="AE120" s="103" t="s">
        <v>9</v>
      </c>
      <c r="AF120" s="107"/>
      <c r="AG120" s="102"/>
      <c r="AH120" s="103"/>
      <c r="AI120" s="103" t="s">
        <v>1</v>
      </c>
      <c r="AJ120" s="104"/>
      <c r="AK120" s="107">
        <v>45985</v>
      </c>
      <c r="AL120" s="104"/>
      <c r="AM120" s="104" t="s">
        <v>17</v>
      </c>
      <c r="AN120" s="107">
        <v>45995</v>
      </c>
      <c r="AO120" s="108"/>
    </row>
    <row r="121" spans="1:42" s="109" customFormat="1" x14ac:dyDescent="0.45">
      <c r="A121" s="99" t="s">
        <v>756</v>
      </c>
      <c r="B121" s="100">
        <v>45870</v>
      </c>
      <c r="C121" s="101">
        <v>2025</v>
      </c>
      <c r="D121" s="102" t="s">
        <v>105</v>
      </c>
      <c r="E121" s="102" t="s">
        <v>24</v>
      </c>
      <c r="F121" s="102" t="s">
        <v>123</v>
      </c>
      <c r="G121" s="102" t="s">
        <v>50</v>
      </c>
      <c r="H121" s="102" t="s">
        <v>585</v>
      </c>
      <c r="I121" s="102" t="s">
        <v>10</v>
      </c>
      <c r="J121" s="102" t="s">
        <v>757</v>
      </c>
      <c r="K121" s="102" t="s">
        <v>758</v>
      </c>
      <c r="L121" s="102" t="s">
        <v>261</v>
      </c>
      <c r="M121" s="102" t="s">
        <v>759</v>
      </c>
      <c r="N121" s="102" t="s">
        <v>760</v>
      </c>
      <c r="O121" s="103" t="s">
        <v>34</v>
      </c>
      <c r="P121" s="103" t="s">
        <v>112</v>
      </c>
      <c r="Q121" s="102" t="s">
        <v>761</v>
      </c>
      <c r="R121" s="103" t="s">
        <v>762</v>
      </c>
      <c r="S121" s="104" t="s">
        <v>763</v>
      </c>
      <c r="T121" s="103">
        <v>0.6069</v>
      </c>
      <c r="U121" s="103" t="s">
        <v>293</v>
      </c>
      <c r="V121" s="103">
        <v>0.7</v>
      </c>
      <c r="W121" s="103"/>
      <c r="X121" s="105"/>
      <c r="Y121" s="103">
        <v>100000</v>
      </c>
      <c r="Z121" s="103" t="s">
        <v>117</v>
      </c>
      <c r="AA121" s="102" t="s">
        <v>33</v>
      </c>
      <c r="AB121" s="102" t="s">
        <v>222</v>
      </c>
      <c r="AC121" s="106"/>
      <c r="AD121" s="102"/>
      <c r="AE121" s="103" t="s">
        <v>9</v>
      </c>
      <c r="AF121" s="107"/>
      <c r="AG121" s="102"/>
      <c r="AH121" s="103"/>
      <c r="AI121" s="103" t="s">
        <v>1</v>
      </c>
      <c r="AJ121" s="104"/>
      <c r="AK121" s="107">
        <v>46021</v>
      </c>
      <c r="AL121" s="104"/>
      <c r="AM121" s="104" t="s">
        <v>17</v>
      </c>
      <c r="AN121" s="107">
        <v>46031</v>
      </c>
      <c r="AO121" s="108"/>
    </row>
    <row r="122" spans="1:42" s="109" customFormat="1" x14ac:dyDescent="0.45">
      <c r="A122" s="99" t="s">
        <v>764</v>
      </c>
      <c r="B122" s="100">
        <v>45809</v>
      </c>
      <c r="C122" s="101">
        <v>2025</v>
      </c>
      <c r="D122" s="102" t="s">
        <v>105</v>
      </c>
      <c r="E122" s="102" t="s">
        <v>25</v>
      </c>
      <c r="F122" s="102" t="s">
        <v>25</v>
      </c>
      <c r="G122" s="102" t="s">
        <v>765</v>
      </c>
      <c r="H122" s="102" t="s">
        <v>585</v>
      </c>
      <c r="I122" s="102" t="s">
        <v>9</v>
      </c>
      <c r="J122" s="102" t="s">
        <v>766</v>
      </c>
      <c r="K122" s="102" t="s">
        <v>767</v>
      </c>
      <c r="L122" s="102" t="s">
        <v>318</v>
      </c>
      <c r="M122" s="102" t="s">
        <v>768</v>
      </c>
      <c r="N122" s="102" t="s">
        <v>769</v>
      </c>
      <c r="O122" s="103" t="s">
        <v>770</v>
      </c>
      <c r="P122" s="103" t="s">
        <v>112</v>
      </c>
      <c r="Q122" s="102" t="s">
        <v>771</v>
      </c>
      <c r="R122" s="103" t="s">
        <v>772</v>
      </c>
      <c r="S122" s="104" t="s">
        <v>773</v>
      </c>
      <c r="T122" s="103" t="s">
        <v>112</v>
      </c>
      <c r="U122" s="103" t="s">
        <v>112</v>
      </c>
      <c r="V122" s="103" t="s">
        <v>112</v>
      </c>
      <c r="W122" s="103"/>
      <c r="X122" s="105"/>
      <c r="Y122" s="103">
        <v>10000</v>
      </c>
      <c r="Z122" s="103" t="s">
        <v>117</v>
      </c>
      <c r="AA122" s="102" t="s">
        <v>42</v>
      </c>
      <c r="AB122" s="102" t="s">
        <v>222</v>
      </c>
      <c r="AC122" s="106"/>
      <c r="AD122" s="102"/>
      <c r="AE122" s="103" t="s">
        <v>9</v>
      </c>
      <c r="AF122" s="107"/>
      <c r="AG122" s="102"/>
      <c r="AH122" s="103"/>
      <c r="AI122" s="103" t="s">
        <v>2</v>
      </c>
      <c r="AJ122" s="104" t="s">
        <v>1520</v>
      </c>
      <c r="AK122" s="107"/>
      <c r="AL122" s="104"/>
      <c r="AM122" s="104"/>
      <c r="AN122" s="107"/>
      <c r="AO122" s="108" t="s">
        <v>1561</v>
      </c>
      <c r="AP122" s="109" t="s">
        <v>774</v>
      </c>
    </row>
    <row r="123" spans="1:42" s="109" customFormat="1" x14ac:dyDescent="0.45">
      <c r="A123" s="99" t="s">
        <v>775</v>
      </c>
      <c r="B123" s="100">
        <v>45809</v>
      </c>
      <c r="C123" s="101">
        <v>2025</v>
      </c>
      <c r="D123" s="102" t="s">
        <v>105</v>
      </c>
      <c r="E123" s="102" t="s">
        <v>25</v>
      </c>
      <c r="F123" s="102" t="s">
        <v>25</v>
      </c>
      <c r="G123" s="102" t="s">
        <v>776</v>
      </c>
      <c r="H123" s="102" t="s">
        <v>585</v>
      </c>
      <c r="I123" s="102" t="s">
        <v>9</v>
      </c>
      <c r="J123" s="102" t="s">
        <v>777</v>
      </c>
      <c r="K123" s="102" t="s">
        <v>778</v>
      </c>
      <c r="L123" s="102" t="s">
        <v>318</v>
      </c>
      <c r="M123" s="102" t="s">
        <v>779</v>
      </c>
      <c r="N123" s="102" t="s">
        <v>780</v>
      </c>
      <c r="O123" s="103" t="s">
        <v>770</v>
      </c>
      <c r="P123" s="103" t="s">
        <v>112</v>
      </c>
      <c r="Q123" s="102" t="s">
        <v>1562</v>
      </c>
      <c r="R123" s="103" t="s">
        <v>781</v>
      </c>
      <c r="S123" s="104" t="s">
        <v>1503</v>
      </c>
      <c r="T123" s="103">
        <v>0.7</v>
      </c>
      <c r="U123" s="103" t="s">
        <v>116</v>
      </c>
      <c r="V123" s="103">
        <v>0.7</v>
      </c>
      <c r="W123" s="103"/>
      <c r="X123" s="105"/>
      <c r="Y123" s="103">
        <v>175292</v>
      </c>
      <c r="Z123" s="103" t="s">
        <v>117</v>
      </c>
      <c r="AA123" s="102" t="s">
        <v>42</v>
      </c>
      <c r="AB123" s="102" t="s">
        <v>222</v>
      </c>
      <c r="AC123" s="106"/>
      <c r="AD123" s="102"/>
      <c r="AE123" s="103" t="s">
        <v>9</v>
      </c>
      <c r="AF123" s="107"/>
      <c r="AG123" s="102"/>
      <c r="AH123" s="103"/>
      <c r="AI123" s="103" t="s">
        <v>2</v>
      </c>
      <c r="AJ123" s="104" t="s">
        <v>1520</v>
      </c>
      <c r="AK123" s="107"/>
      <c r="AL123" s="104"/>
      <c r="AM123" s="104"/>
      <c r="AN123" s="107"/>
      <c r="AO123" s="108" t="s">
        <v>1561</v>
      </c>
      <c r="AP123" s="109" t="s">
        <v>774</v>
      </c>
    </row>
    <row r="124" spans="1:42" s="109" customFormat="1" x14ac:dyDescent="0.45">
      <c r="A124" s="99" t="s">
        <v>782</v>
      </c>
      <c r="B124" s="100">
        <v>45839</v>
      </c>
      <c r="C124" s="101">
        <v>2025</v>
      </c>
      <c r="D124" s="102" t="s">
        <v>105</v>
      </c>
      <c r="E124" s="102" t="s">
        <v>25</v>
      </c>
      <c r="F124" s="102" t="s">
        <v>25</v>
      </c>
      <c r="G124" s="102" t="s">
        <v>783</v>
      </c>
      <c r="H124" s="102" t="s">
        <v>585</v>
      </c>
      <c r="I124" s="102" t="s">
        <v>10</v>
      </c>
      <c r="J124" s="102" t="s">
        <v>784</v>
      </c>
      <c r="K124" s="102" t="s">
        <v>785</v>
      </c>
      <c r="L124" s="102" t="s">
        <v>318</v>
      </c>
      <c r="M124" s="102" t="s">
        <v>786</v>
      </c>
      <c r="N124" s="102" t="s">
        <v>787</v>
      </c>
      <c r="O124" s="103" t="s">
        <v>788</v>
      </c>
      <c r="P124" s="103" t="s">
        <v>112</v>
      </c>
      <c r="Q124" s="102" t="s">
        <v>789</v>
      </c>
      <c r="R124" s="103" t="s">
        <v>790</v>
      </c>
      <c r="S124" s="104" t="s">
        <v>791</v>
      </c>
      <c r="T124" s="103" t="s">
        <v>112</v>
      </c>
      <c r="U124" s="103" t="s">
        <v>112</v>
      </c>
      <c r="V124" s="103" t="s">
        <v>112</v>
      </c>
      <c r="W124" s="103"/>
      <c r="X124" s="105"/>
      <c r="Y124" s="103">
        <v>100000</v>
      </c>
      <c r="Z124" s="103" t="s">
        <v>117</v>
      </c>
      <c r="AA124" s="102" t="s">
        <v>42</v>
      </c>
      <c r="AB124" s="102" t="s">
        <v>222</v>
      </c>
      <c r="AC124" s="106"/>
      <c r="AD124" s="102"/>
      <c r="AE124" s="103" t="s">
        <v>9</v>
      </c>
      <c r="AF124" s="107"/>
      <c r="AG124" s="102"/>
      <c r="AH124" s="103"/>
      <c r="AI124" s="103" t="s">
        <v>1</v>
      </c>
      <c r="AJ124" s="104"/>
      <c r="AK124" s="107">
        <v>46021</v>
      </c>
      <c r="AL124" s="104" t="s">
        <v>323</v>
      </c>
      <c r="AM124" s="104" t="s">
        <v>17</v>
      </c>
      <c r="AN124" s="107">
        <v>46031</v>
      </c>
      <c r="AO124" s="108"/>
    </row>
    <row r="125" spans="1:42" s="109" customFormat="1" x14ac:dyDescent="0.45">
      <c r="A125" s="99" t="s">
        <v>792</v>
      </c>
      <c r="B125" s="100">
        <v>45839</v>
      </c>
      <c r="C125" s="101">
        <v>2025</v>
      </c>
      <c r="D125" s="102" t="s">
        <v>105</v>
      </c>
      <c r="E125" s="102" t="s">
        <v>25</v>
      </c>
      <c r="F125" s="102" t="s">
        <v>25</v>
      </c>
      <c r="G125" s="102" t="s">
        <v>36</v>
      </c>
      <c r="H125" s="102" t="s">
        <v>585</v>
      </c>
      <c r="I125" s="102" t="s">
        <v>9</v>
      </c>
      <c r="J125" s="102" t="s">
        <v>793</v>
      </c>
      <c r="K125" s="102" t="s">
        <v>794</v>
      </c>
      <c r="L125" s="102" t="s">
        <v>318</v>
      </c>
      <c r="M125" s="102" t="s">
        <v>795</v>
      </c>
      <c r="N125" s="102" t="s">
        <v>796</v>
      </c>
      <c r="O125" s="103" t="s">
        <v>797</v>
      </c>
      <c r="P125" s="103" t="s">
        <v>112</v>
      </c>
      <c r="Q125" s="102" t="s">
        <v>1563</v>
      </c>
      <c r="R125" s="103" t="s">
        <v>798</v>
      </c>
      <c r="S125" s="104" t="s">
        <v>1504</v>
      </c>
      <c r="T125" s="103">
        <v>2.0409999999999999</v>
      </c>
      <c r="U125" s="103" t="s">
        <v>116</v>
      </c>
      <c r="V125" s="103">
        <v>2.0409999999999999</v>
      </c>
      <c r="W125" s="103"/>
      <c r="X125" s="105"/>
      <c r="Y125" s="103">
        <v>11081</v>
      </c>
      <c r="Z125" s="103" t="s">
        <v>117</v>
      </c>
      <c r="AA125" s="102" t="s">
        <v>42</v>
      </c>
      <c r="AB125" s="102" t="s">
        <v>222</v>
      </c>
      <c r="AC125" s="106"/>
      <c r="AD125" s="102"/>
      <c r="AE125" s="103" t="s">
        <v>9</v>
      </c>
      <c r="AF125" s="107"/>
      <c r="AG125" s="102"/>
      <c r="AH125" s="103"/>
      <c r="AI125" s="103" t="s">
        <v>2</v>
      </c>
      <c r="AJ125" s="104" t="s">
        <v>1520</v>
      </c>
      <c r="AK125" s="107"/>
      <c r="AL125" s="104"/>
      <c r="AM125" s="104"/>
      <c r="AN125" s="107"/>
      <c r="AO125" s="130" t="s">
        <v>1521</v>
      </c>
      <c r="AP125" s="109" t="s">
        <v>774</v>
      </c>
    </row>
    <row r="126" spans="1:42" s="109" customFormat="1" x14ac:dyDescent="0.45">
      <c r="A126" s="99" t="s">
        <v>799</v>
      </c>
      <c r="B126" s="100">
        <v>45839</v>
      </c>
      <c r="C126" s="101">
        <v>2025</v>
      </c>
      <c r="D126" s="102" t="s">
        <v>800</v>
      </c>
      <c r="E126" s="102" t="s">
        <v>25</v>
      </c>
      <c r="F126" s="102" t="s">
        <v>25</v>
      </c>
      <c r="G126" s="102" t="s">
        <v>801</v>
      </c>
      <c r="H126" s="102" t="s">
        <v>585</v>
      </c>
      <c r="I126" s="102" t="s">
        <v>9</v>
      </c>
      <c r="J126" s="102" t="s">
        <v>802</v>
      </c>
      <c r="K126" s="102" t="s">
        <v>803</v>
      </c>
      <c r="L126" s="102" t="s">
        <v>318</v>
      </c>
      <c r="M126" s="102" t="s">
        <v>112</v>
      </c>
      <c r="N126" s="102" t="s">
        <v>112</v>
      </c>
      <c r="O126" s="103" t="s">
        <v>797</v>
      </c>
      <c r="P126" s="103" t="s">
        <v>112</v>
      </c>
      <c r="Q126" s="102" t="s">
        <v>804</v>
      </c>
      <c r="R126" s="103" t="s">
        <v>805</v>
      </c>
      <c r="S126" s="104" t="s">
        <v>806</v>
      </c>
      <c r="T126" s="103" t="s">
        <v>112</v>
      </c>
      <c r="U126" s="103" t="s">
        <v>112</v>
      </c>
      <c r="V126" s="103" t="s">
        <v>112</v>
      </c>
      <c r="W126" s="103"/>
      <c r="X126" s="105"/>
      <c r="Y126" s="103">
        <v>25500</v>
      </c>
      <c r="Z126" s="103" t="s">
        <v>117</v>
      </c>
      <c r="AA126" s="102" t="s">
        <v>42</v>
      </c>
      <c r="AB126" s="102" t="s">
        <v>222</v>
      </c>
      <c r="AC126" s="106"/>
      <c r="AD126" s="102"/>
      <c r="AE126" s="103" t="s">
        <v>9</v>
      </c>
      <c r="AF126" s="107"/>
      <c r="AG126" s="102"/>
      <c r="AH126" s="103"/>
      <c r="AI126" s="103" t="s">
        <v>2</v>
      </c>
      <c r="AJ126" s="104" t="s">
        <v>1520</v>
      </c>
      <c r="AK126" s="107"/>
      <c r="AL126" s="104"/>
      <c r="AM126" s="104"/>
      <c r="AN126" s="107"/>
      <c r="AO126" s="130" t="s">
        <v>1521</v>
      </c>
      <c r="AP126" s="109" t="s">
        <v>774</v>
      </c>
    </row>
    <row r="127" spans="1:42" s="109" customFormat="1" x14ac:dyDescent="0.45">
      <c r="A127" s="99" t="s">
        <v>807</v>
      </c>
      <c r="B127" s="100">
        <v>45839</v>
      </c>
      <c r="C127" s="101">
        <v>2025</v>
      </c>
      <c r="D127" s="102" t="s">
        <v>105</v>
      </c>
      <c r="E127" s="102" t="s">
        <v>25</v>
      </c>
      <c r="F127" s="102" t="s">
        <v>25</v>
      </c>
      <c r="G127" s="102" t="s">
        <v>808</v>
      </c>
      <c r="H127" s="102" t="s">
        <v>585</v>
      </c>
      <c r="I127" s="102" t="s">
        <v>9</v>
      </c>
      <c r="J127" s="102" t="s">
        <v>809</v>
      </c>
      <c r="K127" s="102" t="s">
        <v>810</v>
      </c>
      <c r="L127" s="102" t="s">
        <v>318</v>
      </c>
      <c r="M127" s="102" t="s">
        <v>811</v>
      </c>
      <c r="N127" s="102" t="s">
        <v>812</v>
      </c>
      <c r="O127" s="103" t="s">
        <v>49</v>
      </c>
      <c r="P127" s="103" t="s">
        <v>112</v>
      </c>
      <c r="Q127" s="102" t="s">
        <v>813</v>
      </c>
      <c r="R127" s="103" t="s">
        <v>814</v>
      </c>
      <c r="S127" s="104" t="s">
        <v>815</v>
      </c>
      <c r="T127" s="103" t="s">
        <v>112</v>
      </c>
      <c r="U127" s="103" t="s">
        <v>112</v>
      </c>
      <c r="V127" s="103" t="s">
        <v>112</v>
      </c>
      <c r="W127" s="103"/>
      <c r="X127" s="105"/>
      <c r="Y127" s="103">
        <v>93184</v>
      </c>
      <c r="Z127" s="103" t="s">
        <v>117</v>
      </c>
      <c r="AA127" s="102" t="s">
        <v>42</v>
      </c>
      <c r="AB127" s="102" t="s">
        <v>222</v>
      </c>
      <c r="AC127" s="106"/>
      <c r="AD127" s="102"/>
      <c r="AE127" s="103" t="s">
        <v>9</v>
      </c>
      <c r="AF127" s="107"/>
      <c r="AG127" s="102"/>
      <c r="AH127" s="103"/>
      <c r="AI127" s="103" t="s">
        <v>2</v>
      </c>
      <c r="AJ127" s="104" t="s">
        <v>1520</v>
      </c>
      <c r="AK127" s="107"/>
      <c r="AL127" s="104"/>
      <c r="AM127" s="104"/>
      <c r="AN127" s="107"/>
      <c r="AO127" s="130" t="s">
        <v>1521</v>
      </c>
      <c r="AP127" s="109" t="s">
        <v>774</v>
      </c>
    </row>
    <row r="128" spans="1:42" s="109" customFormat="1" x14ac:dyDescent="0.45">
      <c r="A128" s="99" t="s">
        <v>816</v>
      </c>
      <c r="B128" s="100">
        <v>45839</v>
      </c>
      <c r="C128" s="101">
        <v>2025</v>
      </c>
      <c r="D128" s="102" t="s">
        <v>105</v>
      </c>
      <c r="E128" s="102" t="s">
        <v>25</v>
      </c>
      <c r="F128" s="102" t="s">
        <v>25</v>
      </c>
      <c r="G128" s="102" t="s">
        <v>817</v>
      </c>
      <c r="H128" s="102" t="s">
        <v>585</v>
      </c>
      <c r="I128" s="102" t="s">
        <v>10</v>
      </c>
      <c r="J128" s="102" t="s">
        <v>818</v>
      </c>
      <c r="K128" s="102" t="s">
        <v>819</v>
      </c>
      <c r="L128" s="102" t="s">
        <v>318</v>
      </c>
      <c r="M128" s="102" t="s">
        <v>820</v>
      </c>
      <c r="N128" s="102" t="s">
        <v>821</v>
      </c>
      <c r="O128" s="103" t="s">
        <v>49</v>
      </c>
      <c r="P128" s="103" t="s">
        <v>112</v>
      </c>
      <c r="Q128" s="102" t="s">
        <v>822</v>
      </c>
      <c r="R128" s="103" t="s">
        <v>823</v>
      </c>
      <c r="S128" s="104" t="s">
        <v>824</v>
      </c>
      <c r="T128" s="103" t="s">
        <v>112</v>
      </c>
      <c r="U128" s="103" t="s">
        <v>112</v>
      </c>
      <c r="V128" s="103" t="s">
        <v>112</v>
      </c>
      <c r="W128" s="103"/>
      <c r="X128" s="105"/>
      <c r="Y128" s="103">
        <v>13288</v>
      </c>
      <c r="Z128" s="103" t="s">
        <v>117</v>
      </c>
      <c r="AA128" s="102" t="s">
        <v>42</v>
      </c>
      <c r="AB128" s="102" t="s">
        <v>222</v>
      </c>
      <c r="AC128" s="106"/>
      <c r="AD128" s="102"/>
      <c r="AE128" s="103" t="s">
        <v>9</v>
      </c>
      <c r="AF128" s="107"/>
      <c r="AG128" s="102"/>
      <c r="AH128" s="103"/>
      <c r="AI128" s="103" t="s">
        <v>1</v>
      </c>
      <c r="AJ128" s="104"/>
      <c r="AK128" s="107">
        <v>46021</v>
      </c>
      <c r="AL128" s="104" t="s">
        <v>323</v>
      </c>
      <c r="AM128" s="104" t="s">
        <v>17</v>
      </c>
      <c r="AN128" s="107">
        <v>46031</v>
      </c>
      <c r="AO128" s="108"/>
    </row>
    <row r="129" spans="1:44" s="109" customFormat="1" x14ac:dyDescent="0.45">
      <c r="A129" s="99" t="s">
        <v>825</v>
      </c>
      <c r="B129" s="100">
        <v>45839</v>
      </c>
      <c r="C129" s="101">
        <v>2025</v>
      </c>
      <c r="D129" s="102" t="s">
        <v>105</v>
      </c>
      <c r="E129" s="102" t="s">
        <v>25</v>
      </c>
      <c r="F129" s="102" t="s">
        <v>25</v>
      </c>
      <c r="G129" s="102" t="s">
        <v>826</v>
      </c>
      <c r="H129" s="102" t="s">
        <v>585</v>
      </c>
      <c r="I129" s="102" t="s">
        <v>10</v>
      </c>
      <c r="J129" s="102" t="s">
        <v>827</v>
      </c>
      <c r="K129" s="102" t="s">
        <v>828</v>
      </c>
      <c r="L129" s="102" t="s">
        <v>318</v>
      </c>
      <c r="M129" s="102" t="s">
        <v>829</v>
      </c>
      <c r="N129" s="102" t="s">
        <v>830</v>
      </c>
      <c r="O129" s="103" t="s">
        <v>49</v>
      </c>
      <c r="P129" s="103" t="s">
        <v>112</v>
      </c>
      <c r="Q129" s="102" t="s">
        <v>831</v>
      </c>
      <c r="R129" s="103" t="s">
        <v>832</v>
      </c>
      <c r="S129" s="104" t="s">
        <v>833</v>
      </c>
      <c r="T129" s="103" t="s">
        <v>112</v>
      </c>
      <c r="U129" s="103" t="s">
        <v>112</v>
      </c>
      <c r="V129" s="103" t="s">
        <v>112</v>
      </c>
      <c r="W129" s="103"/>
      <c r="X129" s="105"/>
      <c r="Y129" s="103">
        <v>25114</v>
      </c>
      <c r="Z129" s="103" t="s">
        <v>117</v>
      </c>
      <c r="AA129" s="102" t="s">
        <v>42</v>
      </c>
      <c r="AB129" s="102" t="s">
        <v>222</v>
      </c>
      <c r="AC129" s="106"/>
      <c r="AD129" s="102"/>
      <c r="AE129" s="103" t="s">
        <v>9</v>
      </c>
      <c r="AF129" s="107"/>
      <c r="AG129" s="102"/>
      <c r="AH129" s="103"/>
      <c r="AI129" s="103" t="s">
        <v>1</v>
      </c>
      <c r="AJ129" s="104"/>
      <c r="AK129" s="107">
        <v>46021</v>
      </c>
      <c r="AL129" s="104" t="s">
        <v>323</v>
      </c>
      <c r="AM129" s="104" t="s">
        <v>17</v>
      </c>
      <c r="AN129" s="107">
        <v>46031</v>
      </c>
      <c r="AO129" s="108"/>
    </row>
    <row r="130" spans="1:44" s="109" customFormat="1" x14ac:dyDescent="0.45">
      <c r="A130" s="99" t="s">
        <v>834</v>
      </c>
      <c r="B130" s="100">
        <v>45839</v>
      </c>
      <c r="C130" s="101">
        <v>2025</v>
      </c>
      <c r="D130" s="102" t="s">
        <v>105</v>
      </c>
      <c r="E130" s="102" t="s">
        <v>25</v>
      </c>
      <c r="F130" s="102" t="s">
        <v>25</v>
      </c>
      <c r="G130" s="102" t="s">
        <v>835</v>
      </c>
      <c r="H130" s="102" t="s">
        <v>585</v>
      </c>
      <c r="I130" s="102" t="s">
        <v>10</v>
      </c>
      <c r="J130" s="102" t="s">
        <v>836</v>
      </c>
      <c r="K130" s="102" t="s">
        <v>837</v>
      </c>
      <c r="L130" s="102" t="s">
        <v>318</v>
      </c>
      <c r="M130" s="102" t="s">
        <v>838</v>
      </c>
      <c r="N130" s="102" t="s">
        <v>839</v>
      </c>
      <c r="O130" s="103" t="s">
        <v>49</v>
      </c>
      <c r="P130" s="103" t="s">
        <v>112</v>
      </c>
      <c r="Q130" s="102" t="s">
        <v>840</v>
      </c>
      <c r="R130" s="103" t="s">
        <v>841</v>
      </c>
      <c r="S130" s="104" t="s">
        <v>833</v>
      </c>
      <c r="T130" s="103" t="s">
        <v>112</v>
      </c>
      <c r="U130" s="103" t="s">
        <v>112</v>
      </c>
      <c r="V130" s="103" t="s">
        <v>112</v>
      </c>
      <c r="W130" s="103"/>
      <c r="X130" s="105"/>
      <c r="Y130" s="103">
        <v>23614</v>
      </c>
      <c r="Z130" s="103" t="s">
        <v>117</v>
      </c>
      <c r="AA130" s="102" t="s">
        <v>42</v>
      </c>
      <c r="AB130" s="102" t="s">
        <v>222</v>
      </c>
      <c r="AC130" s="106"/>
      <c r="AD130" s="102"/>
      <c r="AE130" s="103" t="s">
        <v>9</v>
      </c>
      <c r="AF130" s="107"/>
      <c r="AG130" s="102"/>
      <c r="AH130" s="103"/>
      <c r="AI130" s="103" t="s">
        <v>1</v>
      </c>
      <c r="AJ130" s="104"/>
      <c r="AK130" s="107">
        <v>46021</v>
      </c>
      <c r="AL130" s="104" t="s">
        <v>323</v>
      </c>
      <c r="AM130" s="104" t="s">
        <v>17</v>
      </c>
      <c r="AN130" s="107">
        <v>46031</v>
      </c>
      <c r="AO130" s="108"/>
    </row>
    <row r="131" spans="1:44" s="109" customFormat="1" x14ac:dyDescent="0.45">
      <c r="A131" s="99" t="s">
        <v>842</v>
      </c>
      <c r="B131" s="100">
        <v>45839</v>
      </c>
      <c r="C131" s="101">
        <v>2025</v>
      </c>
      <c r="D131" s="102" t="s">
        <v>105</v>
      </c>
      <c r="E131" s="102" t="s">
        <v>25</v>
      </c>
      <c r="F131" s="102" t="s">
        <v>25</v>
      </c>
      <c r="G131" s="102" t="s">
        <v>843</v>
      </c>
      <c r="H131" s="102" t="s">
        <v>585</v>
      </c>
      <c r="I131" s="102" t="s">
        <v>10</v>
      </c>
      <c r="J131" s="102" t="s">
        <v>844</v>
      </c>
      <c r="K131" s="102" t="s">
        <v>845</v>
      </c>
      <c r="L131" s="102" t="s">
        <v>318</v>
      </c>
      <c r="M131" s="102" t="s">
        <v>846</v>
      </c>
      <c r="N131" s="102" t="s">
        <v>847</v>
      </c>
      <c r="O131" s="103" t="s">
        <v>49</v>
      </c>
      <c r="P131" s="103" t="s">
        <v>112</v>
      </c>
      <c r="Q131" s="102" t="s">
        <v>848</v>
      </c>
      <c r="R131" s="103" t="s">
        <v>849</v>
      </c>
      <c r="S131" s="104" t="s">
        <v>833</v>
      </c>
      <c r="T131" s="103" t="s">
        <v>112</v>
      </c>
      <c r="U131" s="103" t="s">
        <v>112</v>
      </c>
      <c r="V131" s="103" t="s">
        <v>112</v>
      </c>
      <c r="W131" s="103"/>
      <c r="X131" s="105"/>
      <c r="Y131" s="103">
        <v>23114</v>
      </c>
      <c r="Z131" s="103" t="s">
        <v>117</v>
      </c>
      <c r="AA131" s="102" t="s">
        <v>42</v>
      </c>
      <c r="AB131" s="102" t="s">
        <v>222</v>
      </c>
      <c r="AC131" s="106"/>
      <c r="AD131" s="102"/>
      <c r="AE131" s="103" t="s">
        <v>9</v>
      </c>
      <c r="AF131" s="107"/>
      <c r="AG131" s="102"/>
      <c r="AH131" s="103"/>
      <c r="AI131" s="103" t="s">
        <v>1</v>
      </c>
      <c r="AJ131" s="104"/>
      <c r="AK131" s="107">
        <v>46021</v>
      </c>
      <c r="AL131" s="104" t="s">
        <v>323</v>
      </c>
      <c r="AM131" s="104" t="s">
        <v>17</v>
      </c>
      <c r="AN131" s="107">
        <v>46031</v>
      </c>
      <c r="AO131" s="108"/>
    </row>
    <row r="132" spans="1:44" s="109" customFormat="1" x14ac:dyDescent="0.45">
      <c r="A132" s="99" t="s">
        <v>850</v>
      </c>
      <c r="B132" s="100">
        <v>45839</v>
      </c>
      <c r="C132" s="101">
        <v>2025</v>
      </c>
      <c r="D132" s="102" t="s">
        <v>105</v>
      </c>
      <c r="E132" s="102" t="s">
        <v>25</v>
      </c>
      <c r="F132" s="102" t="s">
        <v>25</v>
      </c>
      <c r="G132" s="102" t="s">
        <v>851</v>
      </c>
      <c r="H132" s="102" t="s">
        <v>585</v>
      </c>
      <c r="I132" s="102" t="s">
        <v>10</v>
      </c>
      <c r="J132" s="102" t="s">
        <v>852</v>
      </c>
      <c r="K132" s="102" t="s">
        <v>853</v>
      </c>
      <c r="L132" s="102" t="s">
        <v>318</v>
      </c>
      <c r="M132" s="102" t="s">
        <v>854</v>
      </c>
      <c r="N132" s="102" t="s">
        <v>855</v>
      </c>
      <c r="O132" s="103" t="s">
        <v>856</v>
      </c>
      <c r="P132" s="103" t="s">
        <v>112</v>
      </c>
      <c r="Q132" s="102" t="s">
        <v>857</v>
      </c>
      <c r="R132" s="103" t="s">
        <v>858</v>
      </c>
      <c r="S132" s="104" t="s">
        <v>859</v>
      </c>
      <c r="T132" s="103" t="s">
        <v>112</v>
      </c>
      <c r="U132" s="103" t="s">
        <v>112</v>
      </c>
      <c r="V132" s="103" t="s">
        <v>112</v>
      </c>
      <c r="W132" s="103"/>
      <c r="X132" s="105"/>
      <c r="Y132" s="103">
        <v>10000</v>
      </c>
      <c r="Z132" s="103" t="s">
        <v>117</v>
      </c>
      <c r="AA132" s="102" t="s">
        <v>42</v>
      </c>
      <c r="AB132" s="102" t="s">
        <v>222</v>
      </c>
      <c r="AC132" s="106"/>
      <c r="AD132" s="102"/>
      <c r="AE132" s="103" t="s">
        <v>9</v>
      </c>
      <c r="AF132" s="107"/>
      <c r="AG132" s="102"/>
      <c r="AH132" s="103"/>
      <c r="AI132" s="103" t="s">
        <v>1</v>
      </c>
      <c r="AJ132" s="104"/>
      <c r="AK132" s="107">
        <v>46021</v>
      </c>
      <c r="AL132" s="104"/>
      <c r="AM132" s="104" t="s">
        <v>54</v>
      </c>
      <c r="AN132" s="107"/>
      <c r="AO132" s="126" t="s">
        <v>1530</v>
      </c>
      <c r="AP132" s="32" t="s">
        <v>860</v>
      </c>
      <c r="AQ132" s="32"/>
      <c r="AR132" s="32"/>
    </row>
    <row r="133" spans="1:44" s="109" customFormat="1" x14ac:dyDescent="0.45">
      <c r="A133" s="99" t="s">
        <v>861</v>
      </c>
      <c r="B133" s="100">
        <v>45839</v>
      </c>
      <c r="C133" s="101">
        <v>2025</v>
      </c>
      <c r="D133" s="102" t="s">
        <v>862</v>
      </c>
      <c r="E133" s="102" t="s">
        <v>25</v>
      </c>
      <c r="F133" s="102" t="s">
        <v>25</v>
      </c>
      <c r="G133" s="102" t="s">
        <v>863</v>
      </c>
      <c r="H133" s="102" t="s">
        <v>585</v>
      </c>
      <c r="I133" s="102" t="s">
        <v>10</v>
      </c>
      <c r="J133" s="102" t="s">
        <v>864</v>
      </c>
      <c r="K133" s="102" t="s">
        <v>865</v>
      </c>
      <c r="L133" s="102" t="s">
        <v>318</v>
      </c>
      <c r="M133" s="102" t="s">
        <v>112</v>
      </c>
      <c r="N133" s="102" t="s">
        <v>112</v>
      </c>
      <c r="O133" s="103" t="s">
        <v>797</v>
      </c>
      <c r="P133" s="103" t="s">
        <v>112</v>
      </c>
      <c r="Q133" s="102" t="s">
        <v>866</v>
      </c>
      <c r="R133" s="103" t="s">
        <v>867</v>
      </c>
      <c r="S133" s="104" t="s">
        <v>806</v>
      </c>
      <c r="T133" s="103" t="s">
        <v>112</v>
      </c>
      <c r="U133" s="103" t="s">
        <v>112</v>
      </c>
      <c r="V133" s="103" t="s">
        <v>112</v>
      </c>
      <c r="W133" s="103"/>
      <c r="X133" s="105"/>
      <c r="Y133" s="103">
        <v>20000</v>
      </c>
      <c r="Z133" s="103" t="s">
        <v>117</v>
      </c>
      <c r="AA133" s="102" t="s">
        <v>42</v>
      </c>
      <c r="AB133" s="102" t="s">
        <v>222</v>
      </c>
      <c r="AC133" s="106"/>
      <c r="AD133" s="102"/>
      <c r="AE133" s="103" t="s">
        <v>9</v>
      </c>
      <c r="AF133" s="107"/>
      <c r="AG133" s="102"/>
      <c r="AH133" s="103"/>
      <c r="AI133" s="103" t="s">
        <v>1</v>
      </c>
      <c r="AJ133" s="104"/>
      <c r="AK133" s="107">
        <v>46021</v>
      </c>
      <c r="AL133" s="104"/>
      <c r="AM133" s="104" t="s">
        <v>54</v>
      </c>
      <c r="AN133" s="107"/>
      <c r="AO133" s="126" t="s">
        <v>1530</v>
      </c>
      <c r="AP133" s="32" t="s">
        <v>860</v>
      </c>
      <c r="AQ133" s="32"/>
      <c r="AR133" s="32"/>
    </row>
    <row r="134" spans="1:44" s="109" customFormat="1" x14ac:dyDescent="0.45">
      <c r="A134" s="99" t="s">
        <v>868</v>
      </c>
      <c r="B134" s="100">
        <v>45962</v>
      </c>
      <c r="C134" s="101">
        <v>2025</v>
      </c>
      <c r="D134" s="102" t="s">
        <v>105</v>
      </c>
      <c r="E134" s="102" t="s">
        <v>24</v>
      </c>
      <c r="F134" s="102" t="s">
        <v>123</v>
      </c>
      <c r="G134" s="102" t="s">
        <v>50</v>
      </c>
      <c r="H134" s="102" t="s">
        <v>585</v>
      </c>
      <c r="I134" s="102" t="s">
        <v>10</v>
      </c>
      <c r="J134" s="102" t="s">
        <v>586</v>
      </c>
      <c r="K134" s="102" t="s">
        <v>587</v>
      </c>
      <c r="L134" s="102" t="s">
        <v>139</v>
      </c>
      <c r="M134" s="102" t="s">
        <v>558</v>
      </c>
      <c r="N134" s="102" t="s">
        <v>228</v>
      </c>
      <c r="O134" s="103" t="s">
        <v>691</v>
      </c>
      <c r="P134" s="103" t="s">
        <v>112</v>
      </c>
      <c r="Q134" s="102" t="s">
        <v>869</v>
      </c>
      <c r="R134" s="103" t="s">
        <v>870</v>
      </c>
      <c r="S134" s="104" t="s">
        <v>871</v>
      </c>
      <c r="T134" s="103">
        <v>3.12</v>
      </c>
      <c r="U134" s="103" t="s">
        <v>116</v>
      </c>
      <c r="V134" s="103">
        <v>3.12</v>
      </c>
      <c r="W134" s="103"/>
      <c r="X134" s="105"/>
      <c r="Y134" s="103">
        <v>500</v>
      </c>
      <c r="Z134" s="103" t="s">
        <v>117</v>
      </c>
      <c r="AA134" s="102" t="s">
        <v>33</v>
      </c>
      <c r="AB134" s="102"/>
      <c r="AC134" s="106"/>
      <c r="AD134" s="102"/>
      <c r="AE134" s="103" t="s">
        <v>9</v>
      </c>
      <c r="AF134" s="107"/>
      <c r="AG134" s="102"/>
      <c r="AH134" s="103"/>
      <c r="AI134" s="103" t="s">
        <v>1</v>
      </c>
      <c r="AJ134" s="104"/>
      <c r="AK134" s="107">
        <v>46021</v>
      </c>
      <c r="AL134" s="110" t="s">
        <v>872</v>
      </c>
      <c r="AM134" s="104" t="s">
        <v>17</v>
      </c>
      <c r="AN134" s="107">
        <v>46026</v>
      </c>
      <c r="AO134" s="108"/>
    </row>
    <row r="135" spans="1:44" s="109" customFormat="1" x14ac:dyDescent="0.45">
      <c r="A135" s="99" t="s">
        <v>873</v>
      </c>
      <c r="B135" s="100">
        <v>45962</v>
      </c>
      <c r="C135" s="101">
        <v>2025</v>
      </c>
      <c r="D135" s="102" t="s">
        <v>105</v>
      </c>
      <c r="E135" s="102" t="s">
        <v>24</v>
      </c>
      <c r="F135" s="102" t="s">
        <v>123</v>
      </c>
      <c r="G135" s="102" t="s">
        <v>50</v>
      </c>
      <c r="H135" s="102" t="s">
        <v>585</v>
      </c>
      <c r="I135" s="102" t="s">
        <v>10</v>
      </c>
      <c r="J135" s="102" t="s">
        <v>586</v>
      </c>
      <c r="K135" s="102" t="s">
        <v>587</v>
      </c>
      <c r="L135" s="102" t="s">
        <v>139</v>
      </c>
      <c r="M135" s="102" t="s">
        <v>558</v>
      </c>
      <c r="N135" s="102" t="s">
        <v>228</v>
      </c>
      <c r="O135" s="103" t="s">
        <v>43</v>
      </c>
      <c r="P135" s="103" t="s">
        <v>112</v>
      </c>
      <c r="Q135" s="102" t="s">
        <v>874</v>
      </c>
      <c r="R135" s="103" t="s">
        <v>875</v>
      </c>
      <c r="S135" s="104" t="s">
        <v>876</v>
      </c>
      <c r="T135" s="103">
        <v>1.19</v>
      </c>
      <c r="U135" s="103" t="s">
        <v>116</v>
      </c>
      <c r="V135" s="103">
        <v>1.19</v>
      </c>
      <c r="W135" s="103"/>
      <c r="X135" s="105"/>
      <c r="Y135" s="103">
        <v>500</v>
      </c>
      <c r="Z135" s="103" t="s">
        <v>117</v>
      </c>
      <c r="AA135" s="102" t="s">
        <v>33</v>
      </c>
      <c r="AB135" s="102"/>
      <c r="AC135" s="106"/>
      <c r="AD135" s="102"/>
      <c r="AE135" s="103" t="s">
        <v>9</v>
      </c>
      <c r="AF135" s="107"/>
      <c r="AG135" s="102"/>
      <c r="AH135" s="103"/>
      <c r="AI135" s="103" t="s">
        <v>1</v>
      </c>
      <c r="AJ135" s="104"/>
      <c r="AK135" s="107">
        <v>46021</v>
      </c>
      <c r="AL135" s="110" t="s">
        <v>872</v>
      </c>
      <c r="AM135" s="104" t="s">
        <v>17</v>
      </c>
      <c r="AN135" s="107">
        <v>46026</v>
      </c>
      <c r="AO135" s="108"/>
    </row>
    <row r="136" spans="1:44" s="109" customFormat="1" x14ac:dyDescent="0.45">
      <c r="A136" s="99" t="s">
        <v>877</v>
      </c>
      <c r="B136" s="100">
        <v>45962</v>
      </c>
      <c r="C136" s="101">
        <v>2025</v>
      </c>
      <c r="D136" s="102" t="s">
        <v>105</v>
      </c>
      <c r="E136" s="102" t="s">
        <v>24</v>
      </c>
      <c r="F136" s="102" t="s">
        <v>123</v>
      </c>
      <c r="G136" s="102" t="s">
        <v>50</v>
      </c>
      <c r="H136" s="102" t="s">
        <v>585</v>
      </c>
      <c r="I136" s="102" t="s">
        <v>10</v>
      </c>
      <c r="J136" s="102" t="s">
        <v>586</v>
      </c>
      <c r="K136" s="102" t="s">
        <v>587</v>
      </c>
      <c r="L136" s="102" t="s">
        <v>139</v>
      </c>
      <c r="M136" s="102" t="s">
        <v>558</v>
      </c>
      <c r="N136" s="102" t="s">
        <v>228</v>
      </c>
      <c r="O136" s="103" t="s">
        <v>43</v>
      </c>
      <c r="P136" s="103" t="s">
        <v>112</v>
      </c>
      <c r="Q136" s="102" t="s">
        <v>878</v>
      </c>
      <c r="R136" s="103" t="s">
        <v>879</v>
      </c>
      <c r="S136" s="104" t="s">
        <v>880</v>
      </c>
      <c r="T136" s="103">
        <v>0.96599999999999997</v>
      </c>
      <c r="U136" s="103" t="s">
        <v>116</v>
      </c>
      <c r="V136" s="103">
        <v>0.96599999999999997</v>
      </c>
      <c r="W136" s="103"/>
      <c r="X136" s="105"/>
      <c r="Y136" s="103">
        <v>500</v>
      </c>
      <c r="Z136" s="103" t="s">
        <v>117</v>
      </c>
      <c r="AA136" s="102" t="s">
        <v>33</v>
      </c>
      <c r="AB136" s="102"/>
      <c r="AC136" s="106"/>
      <c r="AD136" s="102"/>
      <c r="AE136" s="103" t="s">
        <v>9</v>
      </c>
      <c r="AF136" s="107"/>
      <c r="AG136" s="102"/>
      <c r="AH136" s="103"/>
      <c r="AI136" s="103" t="s">
        <v>1</v>
      </c>
      <c r="AJ136" s="104"/>
      <c r="AK136" s="107">
        <v>46021</v>
      </c>
      <c r="AL136" s="110" t="s">
        <v>872</v>
      </c>
      <c r="AM136" s="104" t="s">
        <v>17</v>
      </c>
      <c r="AN136" s="107">
        <v>46026</v>
      </c>
      <c r="AO136" s="108"/>
    </row>
    <row r="137" spans="1:44" s="109" customFormat="1" x14ac:dyDescent="0.45">
      <c r="A137" s="99" t="s">
        <v>881</v>
      </c>
      <c r="B137" s="100">
        <v>45962</v>
      </c>
      <c r="C137" s="101">
        <v>2025</v>
      </c>
      <c r="D137" s="102" t="s">
        <v>105</v>
      </c>
      <c r="E137" s="102" t="s">
        <v>24</v>
      </c>
      <c r="F137" s="102" t="s">
        <v>123</v>
      </c>
      <c r="G137" s="102" t="s">
        <v>50</v>
      </c>
      <c r="H137" s="102" t="s">
        <v>585</v>
      </c>
      <c r="I137" s="102" t="s">
        <v>10</v>
      </c>
      <c r="J137" s="102" t="s">
        <v>586</v>
      </c>
      <c r="K137" s="102" t="s">
        <v>587</v>
      </c>
      <c r="L137" s="102" t="s">
        <v>139</v>
      </c>
      <c r="M137" s="102" t="s">
        <v>558</v>
      </c>
      <c r="N137" s="102" t="s">
        <v>228</v>
      </c>
      <c r="O137" s="103" t="s">
        <v>273</v>
      </c>
      <c r="P137" s="103" t="s">
        <v>112</v>
      </c>
      <c r="Q137" s="102" t="s">
        <v>882</v>
      </c>
      <c r="R137" s="103" t="s">
        <v>883</v>
      </c>
      <c r="S137" s="104" t="s">
        <v>884</v>
      </c>
      <c r="T137" s="103">
        <v>0.64200000000000002</v>
      </c>
      <c r="U137" s="103" t="s">
        <v>116</v>
      </c>
      <c r="V137" s="103">
        <v>0.64200000000000002</v>
      </c>
      <c r="W137" s="103"/>
      <c r="X137" s="105"/>
      <c r="Y137" s="103">
        <v>500</v>
      </c>
      <c r="Z137" s="103" t="s">
        <v>117</v>
      </c>
      <c r="AA137" s="102" t="s">
        <v>33</v>
      </c>
      <c r="AB137" s="102"/>
      <c r="AC137" s="106"/>
      <c r="AD137" s="102"/>
      <c r="AE137" s="103" t="s">
        <v>9</v>
      </c>
      <c r="AF137" s="107"/>
      <c r="AG137" s="102"/>
      <c r="AH137" s="103"/>
      <c r="AI137" s="103" t="s">
        <v>1</v>
      </c>
      <c r="AJ137" s="104"/>
      <c r="AK137" s="107">
        <v>46024</v>
      </c>
      <c r="AL137" s="110" t="s">
        <v>885</v>
      </c>
      <c r="AM137" s="104" t="s">
        <v>17</v>
      </c>
      <c r="AN137" s="107">
        <v>46029</v>
      </c>
      <c r="AO137" s="108"/>
    </row>
    <row r="138" spans="1:44" s="109" customFormat="1" x14ac:dyDescent="0.45">
      <c r="A138" s="99" t="s">
        <v>886</v>
      </c>
      <c r="B138" s="100">
        <v>45962</v>
      </c>
      <c r="C138" s="101">
        <v>2025</v>
      </c>
      <c r="D138" s="102" t="s">
        <v>105</v>
      </c>
      <c r="E138" s="102" t="s">
        <v>24</v>
      </c>
      <c r="F138" s="102" t="s">
        <v>123</v>
      </c>
      <c r="G138" s="102" t="s">
        <v>50</v>
      </c>
      <c r="H138" s="102" t="s">
        <v>585</v>
      </c>
      <c r="I138" s="102" t="s">
        <v>10</v>
      </c>
      <c r="J138" s="102" t="s">
        <v>586</v>
      </c>
      <c r="K138" s="102" t="s">
        <v>587</v>
      </c>
      <c r="L138" s="102" t="s">
        <v>139</v>
      </c>
      <c r="M138" s="102" t="s">
        <v>558</v>
      </c>
      <c r="N138" s="102" t="s">
        <v>228</v>
      </c>
      <c r="O138" s="103" t="s">
        <v>273</v>
      </c>
      <c r="P138" s="103" t="s">
        <v>112</v>
      </c>
      <c r="Q138" s="102" t="s">
        <v>887</v>
      </c>
      <c r="R138" s="103" t="s">
        <v>888</v>
      </c>
      <c r="S138" s="104" t="s">
        <v>889</v>
      </c>
      <c r="T138" s="103">
        <v>0.64200000000000002</v>
      </c>
      <c r="U138" s="103" t="s">
        <v>116</v>
      </c>
      <c r="V138" s="103">
        <v>0.64200000000000002</v>
      </c>
      <c r="W138" s="103"/>
      <c r="X138" s="105"/>
      <c r="Y138" s="103">
        <v>500</v>
      </c>
      <c r="Z138" s="103" t="s">
        <v>117</v>
      </c>
      <c r="AA138" s="102" t="s">
        <v>33</v>
      </c>
      <c r="AB138" s="102"/>
      <c r="AC138" s="106"/>
      <c r="AD138" s="102"/>
      <c r="AE138" s="103" t="s">
        <v>9</v>
      </c>
      <c r="AF138" s="107"/>
      <c r="AG138" s="102"/>
      <c r="AH138" s="103"/>
      <c r="AI138" s="103" t="s">
        <v>1</v>
      </c>
      <c r="AJ138" s="104"/>
      <c r="AK138" s="107">
        <v>46024</v>
      </c>
      <c r="AL138" s="110" t="s">
        <v>885</v>
      </c>
      <c r="AM138" s="104" t="s">
        <v>17</v>
      </c>
      <c r="AN138" s="107">
        <v>46029</v>
      </c>
      <c r="AO138" s="108"/>
    </row>
    <row r="139" spans="1:44" s="109" customFormat="1" x14ac:dyDescent="0.45">
      <c r="A139" s="99" t="s">
        <v>890</v>
      </c>
      <c r="B139" s="100">
        <v>45962</v>
      </c>
      <c r="C139" s="101">
        <v>2025</v>
      </c>
      <c r="D139" s="102" t="s">
        <v>105</v>
      </c>
      <c r="E139" s="102" t="s">
        <v>24</v>
      </c>
      <c r="F139" s="102" t="s">
        <v>123</v>
      </c>
      <c r="G139" s="102" t="s">
        <v>50</v>
      </c>
      <c r="H139" s="102" t="s">
        <v>585</v>
      </c>
      <c r="I139" s="102" t="s">
        <v>10</v>
      </c>
      <c r="J139" s="102" t="s">
        <v>586</v>
      </c>
      <c r="K139" s="102" t="s">
        <v>587</v>
      </c>
      <c r="L139" s="102" t="s">
        <v>139</v>
      </c>
      <c r="M139" s="102" t="s">
        <v>558</v>
      </c>
      <c r="N139" s="102" t="s">
        <v>228</v>
      </c>
      <c r="O139" s="103" t="s">
        <v>34</v>
      </c>
      <c r="P139" s="103" t="s">
        <v>112</v>
      </c>
      <c r="Q139" s="102" t="s">
        <v>891</v>
      </c>
      <c r="R139" s="103" t="s">
        <v>892</v>
      </c>
      <c r="S139" s="104" t="s">
        <v>735</v>
      </c>
      <c r="T139" s="103">
        <v>0.96599999999999997</v>
      </c>
      <c r="U139" s="103" t="s">
        <v>116</v>
      </c>
      <c r="V139" s="103">
        <v>0.96599999999999997</v>
      </c>
      <c r="W139" s="103"/>
      <c r="X139" s="105"/>
      <c r="Y139" s="103">
        <v>500</v>
      </c>
      <c r="Z139" s="103" t="s">
        <v>117</v>
      </c>
      <c r="AA139" s="102" t="s">
        <v>33</v>
      </c>
      <c r="AB139" s="102"/>
      <c r="AC139" s="106"/>
      <c r="AD139" s="102"/>
      <c r="AE139" s="103" t="s">
        <v>9</v>
      </c>
      <c r="AF139" s="107"/>
      <c r="AG139" s="102"/>
      <c r="AH139" s="103"/>
      <c r="AI139" s="103" t="s">
        <v>1</v>
      </c>
      <c r="AJ139" s="104"/>
      <c r="AK139" s="107">
        <v>46024</v>
      </c>
      <c r="AL139" s="110" t="s">
        <v>893</v>
      </c>
      <c r="AM139" s="104" t="s">
        <v>17</v>
      </c>
      <c r="AN139" s="107">
        <v>46029</v>
      </c>
      <c r="AO139" s="108"/>
    </row>
    <row r="140" spans="1:44" x14ac:dyDescent="0.45">
      <c r="A140" s="35" t="s">
        <v>894</v>
      </c>
      <c r="B140" s="6">
        <v>45962</v>
      </c>
      <c r="C140" s="7">
        <v>2025</v>
      </c>
      <c r="D140" s="5" t="s">
        <v>105</v>
      </c>
      <c r="E140" s="5" t="s">
        <v>24</v>
      </c>
      <c r="F140" s="5" t="s">
        <v>895</v>
      </c>
      <c r="G140" s="5" t="s">
        <v>895</v>
      </c>
      <c r="H140" s="5" t="s">
        <v>9</v>
      </c>
      <c r="I140" s="5" t="s">
        <v>9</v>
      </c>
      <c r="J140" s="5" t="s">
        <v>896</v>
      </c>
      <c r="K140" s="5" t="s">
        <v>897</v>
      </c>
      <c r="L140" s="5" t="s">
        <v>112</v>
      </c>
      <c r="M140" s="5" t="s">
        <v>898</v>
      </c>
      <c r="N140" s="5" t="s">
        <v>112</v>
      </c>
      <c r="O140" s="8" t="s">
        <v>899</v>
      </c>
      <c r="P140" s="8" t="s">
        <v>112</v>
      </c>
      <c r="Q140" s="137" t="s">
        <v>900</v>
      </c>
      <c r="R140" s="8" t="s">
        <v>901</v>
      </c>
      <c r="S140" s="9" t="s">
        <v>1564</v>
      </c>
      <c r="T140" s="8" t="s">
        <v>112</v>
      </c>
      <c r="U140" s="8" t="s">
        <v>112</v>
      </c>
      <c r="V140" s="8" t="s">
        <v>112</v>
      </c>
      <c r="W140" s="8"/>
      <c r="X140" s="10"/>
      <c r="Y140" s="8">
        <v>10000</v>
      </c>
      <c r="Z140" s="8" t="s">
        <v>117</v>
      </c>
      <c r="AA140" s="5" t="s">
        <v>42</v>
      </c>
      <c r="AB140" s="5" t="s">
        <v>222</v>
      </c>
      <c r="AC140" s="12"/>
      <c r="AD140" s="5"/>
      <c r="AE140" s="8" t="s">
        <v>9</v>
      </c>
      <c r="AF140" s="11"/>
      <c r="AG140" s="5"/>
      <c r="AH140" s="8"/>
      <c r="AI140" s="8" t="s">
        <v>2</v>
      </c>
      <c r="AJ140" s="9" t="s">
        <v>1520</v>
      </c>
      <c r="AK140" s="11"/>
      <c r="AL140" s="9"/>
      <c r="AM140" s="9"/>
      <c r="AN140" s="11"/>
      <c r="AO140" s="126" t="s">
        <v>1565</v>
      </c>
      <c r="AP140" s="32" t="s">
        <v>1566</v>
      </c>
      <c r="AQ140" s="32"/>
      <c r="AR140" s="32"/>
    </row>
    <row r="141" spans="1:44" x14ac:dyDescent="0.45">
      <c r="A141" s="35" t="s">
        <v>902</v>
      </c>
      <c r="B141" s="6">
        <v>45962</v>
      </c>
      <c r="C141" s="7">
        <v>2025</v>
      </c>
      <c r="D141" s="5" t="s">
        <v>105</v>
      </c>
      <c r="E141" s="5" t="s">
        <v>24</v>
      </c>
      <c r="F141" s="5" t="s">
        <v>895</v>
      </c>
      <c r="G141" s="5" t="s">
        <v>895</v>
      </c>
      <c r="H141" s="5" t="s">
        <v>9</v>
      </c>
      <c r="I141" s="5" t="s">
        <v>9</v>
      </c>
      <c r="J141" s="5" t="s">
        <v>903</v>
      </c>
      <c r="K141" s="5" t="s">
        <v>904</v>
      </c>
      <c r="L141" s="5" t="s">
        <v>112</v>
      </c>
      <c r="M141" s="5" t="s">
        <v>898</v>
      </c>
      <c r="N141" s="5" t="s">
        <v>112</v>
      </c>
      <c r="O141" s="8" t="s">
        <v>899</v>
      </c>
      <c r="P141" s="8" t="s">
        <v>112</v>
      </c>
      <c r="Q141" s="5" t="s">
        <v>905</v>
      </c>
      <c r="R141" s="8" t="s">
        <v>906</v>
      </c>
      <c r="S141" s="9" t="s">
        <v>1567</v>
      </c>
      <c r="T141" s="8" t="s">
        <v>112</v>
      </c>
      <c r="U141" s="8" t="s">
        <v>112</v>
      </c>
      <c r="V141" s="8" t="s">
        <v>112</v>
      </c>
      <c r="W141" s="8"/>
      <c r="X141" s="10"/>
      <c r="Y141" s="8">
        <v>10000</v>
      </c>
      <c r="Z141" s="8" t="s">
        <v>117</v>
      </c>
      <c r="AA141" s="5" t="s">
        <v>42</v>
      </c>
      <c r="AB141" s="5" t="s">
        <v>222</v>
      </c>
      <c r="AC141" s="12"/>
      <c r="AD141" s="5"/>
      <c r="AE141" s="8" t="s">
        <v>9</v>
      </c>
      <c r="AF141" s="11"/>
      <c r="AG141" s="5"/>
      <c r="AH141" s="8"/>
      <c r="AI141" s="8" t="s">
        <v>2</v>
      </c>
      <c r="AJ141" s="9" t="s">
        <v>1520</v>
      </c>
      <c r="AK141" s="11"/>
      <c r="AL141" s="9"/>
      <c r="AM141" s="9"/>
      <c r="AN141" s="11"/>
      <c r="AO141" s="126" t="s">
        <v>1565</v>
      </c>
      <c r="AP141" s="32" t="s">
        <v>1566</v>
      </c>
      <c r="AQ141" s="32"/>
      <c r="AR141" s="32"/>
    </row>
    <row r="142" spans="1:44" x14ac:dyDescent="0.45">
      <c r="A142" s="35" t="s">
        <v>907</v>
      </c>
      <c r="B142" s="6">
        <v>45962</v>
      </c>
      <c r="C142" s="7">
        <v>2025</v>
      </c>
      <c r="D142" s="5" t="s">
        <v>105</v>
      </c>
      <c r="E142" s="5" t="s">
        <v>24</v>
      </c>
      <c r="F142" s="5" t="s">
        <v>895</v>
      </c>
      <c r="G142" s="5" t="s">
        <v>895</v>
      </c>
      <c r="H142" s="5" t="s">
        <v>9</v>
      </c>
      <c r="I142" s="5" t="s">
        <v>9</v>
      </c>
      <c r="J142" s="5" t="s">
        <v>908</v>
      </c>
      <c r="K142" s="5" t="s">
        <v>909</v>
      </c>
      <c r="L142" s="5" t="s">
        <v>112</v>
      </c>
      <c r="M142" s="5" t="s">
        <v>910</v>
      </c>
      <c r="N142" s="5" t="s">
        <v>112</v>
      </c>
      <c r="O142" s="8" t="s">
        <v>911</v>
      </c>
      <c r="P142" s="138" t="s">
        <v>912</v>
      </c>
      <c r="Q142" s="5" t="s">
        <v>913</v>
      </c>
      <c r="R142" s="8" t="s">
        <v>914</v>
      </c>
      <c r="S142" s="9" t="s">
        <v>1568</v>
      </c>
      <c r="T142" s="8">
        <v>175</v>
      </c>
      <c r="U142" s="8" t="s">
        <v>412</v>
      </c>
      <c r="V142" s="8">
        <v>24.85</v>
      </c>
      <c r="W142" s="8"/>
      <c r="X142" s="10"/>
      <c r="Y142" s="8">
        <v>10000</v>
      </c>
      <c r="Z142" s="8" t="s">
        <v>117</v>
      </c>
      <c r="AA142" s="5" t="s">
        <v>42</v>
      </c>
      <c r="AB142" s="5" t="s">
        <v>222</v>
      </c>
      <c r="AC142" s="12"/>
      <c r="AD142" s="5"/>
      <c r="AE142" s="8" t="s">
        <v>9</v>
      </c>
      <c r="AF142" s="11"/>
      <c r="AG142" s="5"/>
      <c r="AH142" s="8"/>
      <c r="AI142" s="8" t="s">
        <v>2</v>
      </c>
      <c r="AJ142" s="9" t="s">
        <v>1520</v>
      </c>
      <c r="AK142" s="11"/>
      <c r="AL142" s="9"/>
      <c r="AM142" s="9"/>
      <c r="AN142" s="11"/>
      <c r="AO142" s="126" t="s">
        <v>1565</v>
      </c>
      <c r="AP142" s="32" t="s">
        <v>1566</v>
      </c>
      <c r="AQ142" s="32"/>
      <c r="AR142" s="32"/>
    </row>
    <row r="143" spans="1:44" x14ac:dyDescent="0.45">
      <c r="A143" s="35" t="s">
        <v>915</v>
      </c>
      <c r="B143" s="6">
        <v>45962</v>
      </c>
      <c r="C143" s="7">
        <v>2025</v>
      </c>
      <c r="D143" s="5" t="s">
        <v>105</v>
      </c>
      <c r="E143" s="5" t="s">
        <v>24</v>
      </c>
      <c r="F143" s="5" t="s">
        <v>895</v>
      </c>
      <c r="G143" s="5" t="s">
        <v>895</v>
      </c>
      <c r="H143" s="5" t="s">
        <v>9</v>
      </c>
      <c r="I143" s="5" t="s">
        <v>9</v>
      </c>
      <c r="J143" s="5" t="s">
        <v>916</v>
      </c>
      <c r="K143" s="5" t="s">
        <v>917</v>
      </c>
      <c r="L143" s="5" t="s">
        <v>112</v>
      </c>
      <c r="M143" s="5" t="s">
        <v>918</v>
      </c>
      <c r="N143" s="5" t="s">
        <v>919</v>
      </c>
      <c r="O143" s="8" t="s">
        <v>400</v>
      </c>
      <c r="P143" s="8" t="s">
        <v>112</v>
      </c>
      <c r="Q143" s="5" t="s">
        <v>920</v>
      </c>
      <c r="R143" s="8" t="s">
        <v>921</v>
      </c>
      <c r="S143" s="9" t="s">
        <v>1569</v>
      </c>
      <c r="T143" s="8">
        <v>1</v>
      </c>
      <c r="U143" s="8" t="s">
        <v>412</v>
      </c>
      <c r="V143" s="8">
        <v>0.14000000000000001</v>
      </c>
      <c r="W143" s="8"/>
      <c r="X143" s="10"/>
      <c r="Y143" s="8">
        <v>10000</v>
      </c>
      <c r="Z143" s="8" t="s">
        <v>117</v>
      </c>
      <c r="AA143" s="5" t="s">
        <v>42</v>
      </c>
      <c r="AB143" s="5" t="s">
        <v>222</v>
      </c>
      <c r="AC143" s="12"/>
      <c r="AD143" s="5"/>
      <c r="AE143" s="8" t="s">
        <v>9</v>
      </c>
      <c r="AF143" s="11"/>
      <c r="AG143" s="5"/>
      <c r="AH143" s="8"/>
      <c r="AI143" s="8" t="s">
        <v>1</v>
      </c>
      <c r="AJ143" s="9"/>
      <c r="AK143" s="11">
        <v>46058</v>
      </c>
      <c r="AL143" s="121"/>
      <c r="AM143" s="9" t="s">
        <v>17</v>
      </c>
      <c r="AN143" s="11">
        <v>46067</v>
      </c>
      <c r="AO143" s="38"/>
    </row>
    <row r="144" spans="1:44" x14ac:dyDescent="0.45">
      <c r="A144" s="35" t="s">
        <v>922</v>
      </c>
      <c r="B144" s="6">
        <v>45962</v>
      </c>
      <c r="C144" s="7">
        <v>2025</v>
      </c>
      <c r="D144" s="5" t="s">
        <v>105</v>
      </c>
      <c r="E144" s="5" t="s">
        <v>24</v>
      </c>
      <c r="F144" s="5" t="s">
        <v>895</v>
      </c>
      <c r="G144" s="5" t="s">
        <v>895</v>
      </c>
      <c r="H144" s="5" t="s">
        <v>9</v>
      </c>
      <c r="I144" s="5" t="s">
        <v>9</v>
      </c>
      <c r="J144" s="5" t="s">
        <v>923</v>
      </c>
      <c r="K144" s="5" t="s">
        <v>924</v>
      </c>
      <c r="L144" s="5" t="s">
        <v>112</v>
      </c>
      <c r="M144" s="5" t="s">
        <v>925</v>
      </c>
      <c r="N144" s="5" t="s">
        <v>112</v>
      </c>
      <c r="O144" s="8" t="s">
        <v>440</v>
      </c>
      <c r="P144" s="8" t="s">
        <v>112</v>
      </c>
      <c r="Q144" s="5" t="s">
        <v>926</v>
      </c>
      <c r="R144" s="8" t="s">
        <v>927</v>
      </c>
      <c r="S144" s="9" t="s">
        <v>1505</v>
      </c>
      <c r="T144" s="8">
        <v>1</v>
      </c>
      <c r="U144" s="8" t="s">
        <v>412</v>
      </c>
      <c r="V144" s="8">
        <v>0.14000000000000001</v>
      </c>
      <c r="W144" s="8"/>
      <c r="X144" s="10"/>
      <c r="Y144" s="8">
        <v>10000</v>
      </c>
      <c r="Z144" s="8" t="s">
        <v>117</v>
      </c>
      <c r="AA144" s="5" t="s">
        <v>42</v>
      </c>
      <c r="AB144" s="5" t="s">
        <v>222</v>
      </c>
      <c r="AC144" s="12"/>
      <c r="AD144" s="5"/>
      <c r="AE144" s="8" t="s">
        <v>9</v>
      </c>
      <c r="AF144" s="11"/>
      <c r="AG144" s="5"/>
      <c r="AH144" s="8"/>
      <c r="AI144" s="8" t="s">
        <v>1</v>
      </c>
      <c r="AJ144" s="9"/>
      <c r="AK144" s="11">
        <v>46058</v>
      </c>
      <c r="AL144" s="9"/>
      <c r="AM144" s="9" t="s">
        <v>17</v>
      </c>
      <c r="AN144" s="11">
        <v>46067</v>
      </c>
      <c r="AO144" s="38"/>
    </row>
    <row r="145" spans="1:42" x14ac:dyDescent="0.45">
      <c r="A145" s="35" t="s">
        <v>928</v>
      </c>
      <c r="B145" s="6">
        <v>45962</v>
      </c>
      <c r="C145" s="7">
        <v>2025</v>
      </c>
      <c r="D145" s="5" t="s">
        <v>105</v>
      </c>
      <c r="E145" s="5" t="s">
        <v>24</v>
      </c>
      <c r="F145" s="5" t="s">
        <v>895</v>
      </c>
      <c r="G145" s="5" t="s">
        <v>895</v>
      </c>
      <c r="H145" s="5" t="s">
        <v>9</v>
      </c>
      <c r="I145" s="5" t="s">
        <v>9</v>
      </c>
      <c r="J145" s="5" t="s">
        <v>929</v>
      </c>
      <c r="K145" s="5" t="s">
        <v>930</v>
      </c>
      <c r="L145" s="5" t="s">
        <v>112</v>
      </c>
      <c r="M145" s="5" t="s">
        <v>931</v>
      </c>
      <c r="N145" s="5" t="s">
        <v>932</v>
      </c>
      <c r="O145" s="8" t="s">
        <v>933</v>
      </c>
      <c r="P145" s="8" t="s">
        <v>112</v>
      </c>
      <c r="Q145" s="5" t="s">
        <v>934</v>
      </c>
      <c r="R145" s="8" t="s">
        <v>935</v>
      </c>
      <c r="S145" s="9" t="s">
        <v>1506</v>
      </c>
      <c r="T145" s="8" t="s">
        <v>112</v>
      </c>
      <c r="U145" s="8" t="s">
        <v>112</v>
      </c>
      <c r="V145" s="8" t="s">
        <v>112</v>
      </c>
      <c r="W145" s="8"/>
      <c r="X145" s="10"/>
      <c r="Y145" s="8">
        <v>10000</v>
      </c>
      <c r="Z145" s="8" t="s">
        <v>117</v>
      </c>
      <c r="AA145" s="5" t="s">
        <v>42</v>
      </c>
      <c r="AB145" s="5" t="s">
        <v>222</v>
      </c>
      <c r="AC145" s="12"/>
      <c r="AD145" s="5"/>
      <c r="AE145" s="8" t="s">
        <v>9</v>
      </c>
      <c r="AF145" s="11"/>
      <c r="AG145" s="5"/>
      <c r="AH145" s="8"/>
      <c r="AI145" s="8" t="s">
        <v>1</v>
      </c>
      <c r="AJ145" s="9"/>
      <c r="AK145" s="11">
        <v>46058</v>
      </c>
      <c r="AL145" s="9"/>
      <c r="AM145" s="9" t="s">
        <v>17</v>
      </c>
      <c r="AN145" s="11">
        <v>46067</v>
      </c>
      <c r="AO145" s="38"/>
    </row>
    <row r="146" spans="1:42" s="32" customFormat="1" x14ac:dyDescent="0.45">
      <c r="A146" s="37" t="s">
        <v>936</v>
      </c>
      <c r="B146" s="25">
        <v>45992</v>
      </c>
      <c r="C146" s="26">
        <v>2025</v>
      </c>
      <c r="D146" s="24" t="s">
        <v>105</v>
      </c>
      <c r="E146" s="24" t="s">
        <v>24</v>
      </c>
      <c r="F146" s="24" t="s">
        <v>123</v>
      </c>
      <c r="G146" s="24" t="s">
        <v>50</v>
      </c>
      <c r="H146" s="24" t="s">
        <v>9</v>
      </c>
      <c r="I146" s="24" t="s">
        <v>10</v>
      </c>
      <c r="J146" s="24" t="s">
        <v>548</v>
      </c>
      <c r="K146" s="24" t="s">
        <v>549</v>
      </c>
      <c r="L146" s="24" t="s">
        <v>388</v>
      </c>
      <c r="M146" s="24" t="s">
        <v>550</v>
      </c>
      <c r="N146" s="24" t="s">
        <v>228</v>
      </c>
      <c r="O146" s="27" t="s">
        <v>937</v>
      </c>
      <c r="P146" s="27" t="s">
        <v>112</v>
      </c>
      <c r="Q146" s="24" t="s">
        <v>938</v>
      </c>
      <c r="R146" s="27" t="s">
        <v>939</v>
      </c>
      <c r="S146" s="28" t="s">
        <v>940</v>
      </c>
      <c r="T146" s="27">
        <v>0.16600000000000001</v>
      </c>
      <c r="U146" s="27" t="s">
        <v>116</v>
      </c>
      <c r="V146" s="27">
        <v>0.16600000000000001</v>
      </c>
      <c r="W146" s="27"/>
      <c r="X146" s="29"/>
      <c r="Y146" s="27">
        <v>50000</v>
      </c>
      <c r="Z146" s="27" t="s">
        <v>117</v>
      </c>
      <c r="AA146" s="24" t="s">
        <v>33</v>
      </c>
      <c r="AB146" s="24" t="s">
        <v>222</v>
      </c>
      <c r="AC146" s="30"/>
      <c r="AD146" s="24"/>
      <c r="AE146" s="27" t="s">
        <v>9</v>
      </c>
      <c r="AF146" s="31"/>
      <c r="AG146" s="24"/>
      <c r="AH146" s="27"/>
      <c r="AI146" s="27" t="s">
        <v>2</v>
      </c>
      <c r="AJ146" s="28" t="s">
        <v>21</v>
      </c>
      <c r="AK146" s="31"/>
      <c r="AL146" s="28"/>
      <c r="AM146" s="28"/>
      <c r="AN146" s="31"/>
      <c r="AO146" s="40"/>
    </row>
    <row r="147" spans="1:42" s="32" customFormat="1" x14ac:dyDescent="0.45">
      <c r="A147" s="37" t="s">
        <v>941</v>
      </c>
      <c r="B147" s="25">
        <v>45992</v>
      </c>
      <c r="C147" s="26">
        <v>2025</v>
      </c>
      <c r="D147" s="24" t="s">
        <v>105</v>
      </c>
      <c r="E147" s="24" t="s">
        <v>24</v>
      </c>
      <c r="F147" s="24" t="s">
        <v>123</v>
      </c>
      <c r="G147" s="24" t="s">
        <v>50</v>
      </c>
      <c r="H147" s="24" t="s">
        <v>9</v>
      </c>
      <c r="I147" s="24" t="s">
        <v>10</v>
      </c>
      <c r="J147" s="24" t="s">
        <v>696</v>
      </c>
      <c r="K147" s="24" t="s">
        <v>697</v>
      </c>
      <c r="L147" s="24" t="s">
        <v>698</v>
      </c>
      <c r="M147" s="24" t="s">
        <v>699</v>
      </c>
      <c r="N147" s="24" t="s">
        <v>700</v>
      </c>
      <c r="O147" s="27" t="s">
        <v>678</v>
      </c>
      <c r="P147" s="27" t="s">
        <v>112</v>
      </c>
      <c r="Q147" s="24" t="s">
        <v>942</v>
      </c>
      <c r="R147" s="27" t="s">
        <v>943</v>
      </c>
      <c r="S147" s="28" t="s">
        <v>944</v>
      </c>
      <c r="T147" s="27">
        <v>0.01</v>
      </c>
      <c r="U147" s="27" t="s">
        <v>116</v>
      </c>
      <c r="V147" s="27">
        <v>0.01</v>
      </c>
      <c r="W147" s="27">
        <v>10.35</v>
      </c>
      <c r="X147" s="29">
        <v>0.99903381642512079</v>
      </c>
      <c r="Y147" s="27">
        <v>1</v>
      </c>
      <c r="Z147" s="27" t="s">
        <v>117</v>
      </c>
      <c r="AA147" s="24" t="s">
        <v>33</v>
      </c>
      <c r="AB147" s="24" t="s">
        <v>571</v>
      </c>
      <c r="AC147" s="30"/>
      <c r="AD147" s="24"/>
      <c r="AE147" s="27" t="s">
        <v>9</v>
      </c>
      <c r="AF147" s="31"/>
      <c r="AG147" s="24"/>
      <c r="AH147" s="27"/>
      <c r="AI147" s="27" t="s">
        <v>2</v>
      </c>
      <c r="AJ147" s="28" t="s">
        <v>1520</v>
      </c>
      <c r="AK147" s="31"/>
      <c r="AL147" s="28"/>
      <c r="AM147" s="28"/>
      <c r="AN147" s="31"/>
      <c r="AO147" s="40" t="s">
        <v>1570</v>
      </c>
      <c r="AP147" s="32" t="s">
        <v>945</v>
      </c>
    </row>
    <row r="148" spans="1:42" s="32" customFormat="1" x14ac:dyDescent="0.45">
      <c r="A148" s="37" t="s">
        <v>946</v>
      </c>
      <c r="B148" s="25">
        <v>45992</v>
      </c>
      <c r="C148" s="26">
        <v>2025</v>
      </c>
      <c r="D148" s="24" t="s">
        <v>105</v>
      </c>
      <c r="E148" s="24" t="s">
        <v>24</v>
      </c>
      <c r="F148" s="24" t="s">
        <v>123</v>
      </c>
      <c r="G148" s="24" t="s">
        <v>50</v>
      </c>
      <c r="H148" s="24" t="s">
        <v>9</v>
      </c>
      <c r="I148" s="24" t="s">
        <v>10</v>
      </c>
      <c r="J148" s="24" t="s">
        <v>548</v>
      </c>
      <c r="K148" s="24" t="s">
        <v>549</v>
      </c>
      <c r="L148" s="24" t="s">
        <v>388</v>
      </c>
      <c r="M148" s="24" t="s">
        <v>550</v>
      </c>
      <c r="N148" s="24" t="s">
        <v>228</v>
      </c>
      <c r="O148" s="27" t="s">
        <v>678</v>
      </c>
      <c r="P148" s="27" t="s">
        <v>112</v>
      </c>
      <c r="Q148" s="24" t="s">
        <v>947</v>
      </c>
      <c r="R148" s="27" t="s">
        <v>948</v>
      </c>
      <c r="S148" s="28" t="s">
        <v>949</v>
      </c>
      <c r="T148" s="27">
        <v>0.64800000000000002</v>
      </c>
      <c r="U148" s="27" t="s">
        <v>116</v>
      </c>
      <c r="V148" s="27">
        <v>0.64800000000000002</v>
      </c>
      <c r="W148" s="27">
        <v>10.35</v>
      </c>
      <c r="X148" s="29">
        <v>0.93739130434782614</v>
      </c>
      <c r="Y148" s="27">
        <v>50000</v>
      </c>
      <c r="Z148" s="27" t="s">
        <v>117</v>
      </c>
      <c r="AA148" s="24" t="s">
        <v>33</v>
      </c>
      <c r="AB148" s="24" t="s">
        <v>950</v>
      </c>
      <c r="AC148" s="30"/>
      <c r="AD148" s="24"/>
      <c r="AE148" s="27" t="s">
        <v>9</v>
      </c>
      <c r="AF148" s="31"/>
      <c r="AG148" s="24"/>
      <c r="AH148" s="27"/>
      <c r="AI148" s="27" t="s">
        <v>1</v>
      </c>
      <c r="AJ148" s="28"/>
      <c r="AK148" s="31">
        <v>46058</v>
      </c>
      <c r="AL148" s="28"/>
      <c r="AM148" s="28" t="s">
        <v>17</v>
      </c>
      <c r="AN148" s="31">
        <v>46063</v>
      </c>
      <c r="AO148" s="40"/>
    </row>
    <row r="149" spans="1:42" s="32" customFormat="1" x14ac:dyDescent="0.45">
      <c r="A149" s="37" t="s">
        <v>951</v>
      </c>
      <c r="B149" s="25">
        <v>45992</v>
      </c>
      <c r="C149" s="26">
        <v>2025</v>
      </c>
      <c r="D149" s="24" t="s">
        <v>105</v>
      </c>
      <c r="E149" s="24" t="s">
        <v>24</v>
      </c>
      <c r="F149" s="24" t="s">
        <v>123</v>
      </c>
      <c r="G149" s="24" t="s">
        <v>50</v>
      </c>
      <c r="H149" s="24" t="s">
        <v>9</v>
      </c>
      <c r="I149" s="24" t="s">
        <v>10</v>
      </c>
      <c r="J149" s="24" t="s">
        <v>556</v>
      </c>
      <c r="K149" s="24" t="s">
        <v>557</v>
      </c>
      <c r="L149" s="24" t="s">
        <v>149</v>
      </c>
      <c r="M149" s="24" t="s">
        <v>558</v>
      </c>
      <c r="N149" s="24" t="s">
        <v>228</v>
      </c>
      <c r="O149" s="27" t="s">
        <v>678</v>
      </c>
      <c r="P149" s="27" t="s">
        <v>112</v>
      </c>
      <c r="Q149" s="24" t="s">
        <v>952</v>
      </c>
      <c r="R149" s="27" t="s">
        <v>953</v>
      </c>
      <c r="S149" s="28" t="s">
        <v>681</v>
      </c>
      <c r="T149" s="27">
        <v>0.66800000000000004</v>
      </c>
      <c r="U149" s="27" t="s">
        <v>116</v>
      </c>
      <c r="V149" s="27">
        <v>0.66800000000000004</v>
      </c>
      <c r="W149" s="27">
        <v>10.35</v>
      </c>
      <c r="X149" s="29">
        <v>0.93545893719806772</v>
      </c>
      <c r="Y149" s="27">
        <v>100000</v>
      </c>
      <c r="Z149" s="27" t="s">
        <v>117</v>
      </c>
      <c r="AA149" s="24" t="s">
        <v>33</v>
      </c>
      <c r="AB149" s="24" t="s">
        <v>950</v>
      </c>
      <c r="AC149" s="30"/>
      <c r="AD149" s="24"/>
      <c r="AE149" s="27" t="s">
        <v>9</v>
      </c>
      <c r="AF149" s="31"/>
      <c r="AG149" s="24"/>
      <c r="AH149" s="27"/>
      <c r="AI149" s="27" t="s">
        <v>1</v>
      </c>
      <c r="AJ149" s="28"/>
      <c r="AK149" s="31">
        <v>46058</v>
      </c>
      <c r="AL149" s="28"/>
      <c r="AM149" s="28" t="s">
        <v>17</v>
      </c>
      <c r="AN149" s="31">
        <v>46063</v>
      </c>
      <c r="AO149" s="40"/>
    </row>
    <row r="150" spans="1:42" s="32" customFormat="1" x14ac:dyDescent="0.45">
      <c r="A150" s="37" t="s">
        <v>954</v>
      </c>
      <c r="B150" s="25">
        <v>45992</v>
      </c>
      <c r="C150" s="26">
        <v>2025</v>
      </c>
      <c r="D150" s="24" t="s">
        <v>105</v>
      </c>
      <c r="E150" s="24" t="s">
        <v>24</v>
      </c>
      <c r="F150" s="24" t="s">
        <v>123</v>
      </c>
      <c r="G150" s="24" t="s">
        <v>50</v>
      </c>
      <c r="H150" s="24" t="s">
        <v>9</v>
      </c>
      <c r="I150" s="24" t="s">
        <v>10</v>
      </c>
      <c r="J150" s="24" t="s">
        <v>595</v>
      </c>
      <c r="K150" s="24" t="s">
        <v>596</v>
      </c>
      <c r="L150" s="24" t="s">
        <v>149</v>
      </c>
      <c r="M150" s="24" t="s">
        <v>597</v>
      </c>
      <c r="N150" s="24" t="s">
        <v>598</v>
      </c>
      <c r="O150" s="27" t="s">
        <v>678</v>
      </c>
      <c r="P150" s="27" t="s">
        <v>1400</v>
      </c>
      <c r="Q150" s="24" t="s">
        <v>955</v>
      </c>
      <c r="R150" s="27" t="s">
        <v>956</v>
      </c>
      <c r="S150" s="28" t="s">
        <v>957</v>
      </c>
      <c r="T150" s="27">
        <v>0.01</v>
      </c>
      <c r="U150" s="27" t="s">
        <v>116</v>
      </c>
      <c r="V150" s="27">
        <v>0.01</v>
      </c>
      <c r="W150" s="27">
        <v>10.35</v>
      </c>
      <c r="X150" s="29">
        <v>0.99903381642512079</v>
      </c>
      <c r="Y150" s="27">
        <v>50000</v>
      </c>
      <c r="Z150" s="27" t="s">
        <v>117</v>
      </c>
      <c r="AA150" s="24" t="s">
        <v>33</v>
      </c>
      <c r="AB150" s="24" t="s">
        <v>950</v>
      </c>
      <c r="AC150" s="30"/>
      <c r="AD150" s="24"/>
      <c r="AE150" s="27" t="s">
        <v>9</v>
      </c>
      <c r="AF150" s="31"/>
      <c r="AG150" s="24"/>
      <c r="AH150" s="27"/>
      <c r="AI150" s="27" t="s">
        <v>2</v>
      </c>
      <c r="AJ150" s="28" t="s">
        <v>1520</v>
      </c>
      <c r="AK150" s="31"/>
      <c r="AL150" s="28"/>
      <c r="AM150" s="28"/>
      <c r="AN150" s="31"/>
      <c r="AO150" s="40" t="s">
        <v>1570</v>
      </c>
      <c r="AP150" s="32" t="s">
        <v>945</v>
      </c>
    </row>
    <row r="151" spans="1:42" x14ac:dyDescent="0.45">
      <c r="A151" s="35" t="s">
        <v>958</v>
      </c>
      <c r="B151" s="6">
        <v>45992</v>
      </c>
      <c r="C151" s="7">
        <v>2025</v>
      </c>
      <c r="D151" s="5" t="s">
        <v>105</v>
      </c>
      <c r="E151" s="5" t="s">
        <v>24</v>
      </c>
      <c r="F151" s="5" t="s">
        <v>123</v>
      </c>
      <c r="G151" s="5" t="s">
        <v>50</v>
      </c>
      <c r="H151" s="5" t="s">
        <v>9</v>
      </c>
      <c r="I151" s="5" t="s">
        <v>9</v>
      </c>
      <c r="J151" s="5" t="s">
        <v>959</v>
      </c>
      <c r="K151" s="5" t="s">
        <v>960</v>
      </c>
      <c r="L151" s="5" t="s">
        <v>112</v>
      </c>
      <c r="M151" s="5" t="s">
        <v>961</v>
      </c>
      <c r="N151" s="5" t="s">
        <v>112</v>
      </c>
      <c r="O151" s="8" t="s">
        <v>691</v>
      </c>
      <c r="P151" s="8" t="s">
        <v>112</v>
      </c>
      <c r="Q151" s="5" t="s">
        <v>962</v>
      </c>
      <c r="R151" s="8" t="s">
        <v>963</v>
      </c>
      <c r="S151" s="9" t="s">
        <v>964</v>
      </c>
      <c r="T151" s="8">
        <v>14.76</v>
      </c>
      <c r="U151" s="8" t="s">
        <v>116</v>
      </c>
      <c r="V151" s="8">
        <v>14.76</v>
      </c>
      <c r="W151" s="8">
        <v>28.59</v>
      </c>
      <c r="X151" s="10">
        <v>0.48373557187827915</v>
      </c>
      <c r="Y151" s="8">
        <v>100000</v>
      </c>
      <c r="Z151" s="8" t="s">
        <v>117</v>
      </c>
      <c r="AA151" s="5" t="s">
        <v>33</v>
      </c>
      <c r="AB151" s="5" t="s">
        <v>965</v>
      </c>
      <c r="AC151" s="12"/>
      <c r="AD151" s="5"/>
      <c r="AE151" s="8" t="s">
        <v>9</v>
      </c>
      <c r="AF151" s="11"/>
      <c r="AG151" s="5"/>
      <c r="AH151" s="8"/>
      <c r="AI151" s="8" t="s">
        <v>1</v>
      </c>
      <c r="AJ151" s="9"/>
      <c r="AK151" s="11">
        <v>46058</v>
      </c>
      <c r="AL151" s="9"/>
      <c r="AM151" s="9" t="s">
        <v>17</v>
      </c>
      <c r="AN151" s="11">
        <v>46063</v>
      </c>
      <c r="AO151" s="38"/>
    </row>
    <row r="152" spans="1:42" s="32" customFormat="1" x14ac:dyDescent="0.45">
      <c r="A152" s="37" t="s">
        <v>966</v>
      </c>
      <c r="B152" s="25">
        <v>45992</v>
      </c>
      <c r="C152" s="26">
        <v>2025</v>
      </c>
      <c r="D152" s="24" t="s">
        <v>105</v>
      </c>
      <c r="E152" s="24" t="s">
        <v>24</v>
      </c>
      <c r="F152" s="24" t="s">
        <v>123</v>
      </c>
      <c r="G152" s="24" t="s">
        <v>50</v>
      </c>
      <c r="H152" s="24" t="s">
        <v>9</v>
      </c>
      <c r="I152" s="24" t="s">
        <v>10</v>
      </c>
      <c r="J152" s="24" t="s">
        <v>604</v>
      </c>
      <c r="K152" s="24" t="s">
        <v>605</v>
      </c>
      <c r="L152" s="24" t="s">
        <v>127</v>
      </c>
      <c r="M152" s="24" t="s">
        <v>606</v>
      </c>
      <c r="N152" s="24" t="s">
        <v>607</v>
      </c>
      <c r="O152" s="27" t="s">
        <v>691</v>
      </c>
      <c r="P152" s="27" t="s">
        <v>112</v>
      </c>
      <c r="Q152" s="24" t="s">
        <v>967</v>
      </c>
      <c r="R152" s="27" t="s">
        <v>968</v>
      </c>
      <c r="S152" s="28" t="s">
        <v>969</v>
      </c>
      <c r="T152" s="27">
        <v>14.76</v>
      </c>
      <c r="U152" s="27" t="s">
        <v>116</v>
      </c>
      <c r="V152" s="27">
        <v>14.76</v>
      </c>
      <c r="W152" s="27">
        <v>28.59</v>
      </c>
      <c r="X152" s="29">
        <v>0.48373557187827915</v>
      </c>
      <c r="Y152" s="27">
        <v>1000000</v>
      </c>
      <c r="Z152" s="27" t="s">
        <v>117</v>
      </c>
      <c r="AA152" s="24" t="s">
        <v>33</v>
      </c>
      <c r="AB152" s="24" t="s">
        <v>965</v>
      </c>
      <c r="AC152" s="30"/>
      <c r="AD152" s="24"/>
      <c r="AE152" s="27" t="s">
        <v>9</v>
      </c>
      <c r="AF152" s="31"/>
      <c r="AG152" s="24"/>
      <c r="AH152" s="27"/>
      <c r="AI152" s="27" t="s">
        <v>2</v>
      </c>
      <c r="AJ152" s="28" t="s">
        <v>20</v>
      </c>
      <c r="AK152" s="31"/>
      <c r="AL152" s="28"/>
      <c r="AM152" s="28"/>
      <c r="AN152" s="31"/>
      <c r="AO152" s="40"/>
    </row>
    <row r="153" spans="1:42" s="32" customFormat="1" x14ac:dyDescent="0.45">
      <c r="A153" s="37" t="s">
        <v>970</v>
      </c>
      <c r="B153" s="25">
        <v>45992</v>
      </c>
      <c r="C153" s="26">
        <v>2025</v>
      </c>
      <c r="D153" s="24" t="s">
        <v>105</v>
      </c>
      <c r="E153" s="24" t="s">
        <v>24</v>
      </c>
      <c r="F153" s="24" t="s">
        <v>123</v>
      </c>
      <c r="G153" s="24" t="s">
        <v>50</v>
      </c>
      <c r="H153" s="24" t="s">
        <v>9</v>
      </c>
      <c r="I153" s="24" t="s">
        <v>10</v>
      </c>
      <c r="J153" s="24" t="s">
        <v>971</v>
      </c>
      <c r="K153" s="24" t="s">
        <v>972</v>
      </c>
      <c r="L153" s="24" t="s">
        <v>261</v>
      </c>
      <c r="M153" s="24" t="s">
        <v>973</v>
      </c>
      <c r="N153" s="24" t="s">
        <v>112</v>
      </c>
      <c r="O153" s="27" t="s">
        <v>43</v>
      </c>
      <c r="P153" s="27" t="s">
        <v>112</v>
      </c>
      <c r="Q153" s="24" t="s">
        <v>974</v>
      </c>
      <c r="R153" s="27" t="s">
        <v>975</v>
      </c>
      <c r="S153" s="28" t="s">
        <v>976</v>
      </c>
      <c r="T153" s="27">
        <v>0.01</v>
      </c>
      <c r="U153" s="27" t="s">
        <v>116</v>
      </c>
      <c r="V153" s="27">
        <v>0.01</v>
      </c>
      <c r="W153" s="27">
        <v>12.2</v>
      </c>
      <c r="X153" s="29">
        <v>0.99918032786885247</v>
      </c>
      <c r="Y153" s="27">
        <v>10000</v>
      </c>
      <c r="Z153" s="27" t="s">
        <v>117</v>
      </c>
      <c r="AA153" s="24" t="s">
        <v>33</v>
      </c>
      <c r="AB153" s="24" t="s">
        <v>571</v>
      </c>
      <c r="AC153" s="30"/>
      <c r="AD153" s="24"/>
      <c r="AE153" s="27" t="s">
        <v>9</v>
      </c>
      <c r="AF153" s="31"/>
      <c r="AG153" s="24"/>
      <c r="AH153" s="27"/>
      <c r="AI153" s="27" t="s">
        <v>1</v>
      </c>
      <c r="AJ153" s="28"/>
      <c r="AK153" s="31">
        <v>46058</v>
      </c>
      <c r="AL153" s="28"/>
      <c r="AM153" s="28" t="s">
        <v>17</v>
      </c>
      <c r="AN153" s="31">
        <v>46063</v>
      </c>
      <c r="AO153" s="40"/>
    </row>
    <row r="154" spans="1:42" s="32" customFormat="1" x14ac:dyDescent="0.45">
      <c r="A154" s="37" t="s">
        <v>977</v>
      </c>
      <c r="B154" s="25">
        <v>45992</v>
      </c>
      <c r="C154" s="26">
        <v>2025</v>
      </c>
      <c r="D154" s="24" t="s">
        <v>105</v>
      </c>
      <c r="E154" s="24" t="s">
        <v>24</v>
      </c>
      <c r="F154" s="24" t="s">
        <v>123</v>
      </c>
      <c r="G154" s="24" t="s">
        <v>50</v>
      </c>
      <c r="H154" s="24" t="s">
        <v>9</v>
      </c>
      <c r="I154" s="24" t="s">
        <v>10</v>
      </c>
      <c r="J154" s="24" t="s">
        <v>556</v>
      </c>
      <c r="K154" s="24" t="s">
        <v>557</v>
      </c>
      <c r="L154" s="24" t="s">
        <v>149</v>
      </c>
      <c r="M154" s="24" t="s">
        <v>558</v>
      </c>
      <c r="N154" s="24" t="s">
        <v>228</v>
      </c>
      <c r="O154" s="27" t="s">
        <v>43</v>
      </c>
      <c r="P154" s="27" t="s">
        <v>112</v>
      </c>
      <c r="Q154" s="24" t="s">
        <v>978</v>
      </c>
      <c r="R154" s="27" t="s">
        <v>979</v>
      </c>
      <c r="S154" s="28" t="s">
        <v>880</v>
      </c>
      <c r="T154" s="27">
        <v>0.996</v>
      </c>
      <c r="U154" s="27" t="s">
        <v>116</v>
      </c>
      <c r="V154" s="27">
        <v>0.996</v>
      </c>
      <c r="W154" s="27">
        <v>12.2</v>
      </c>
      <c r="X154" s="29">
        <v>0.91836065573770487</v>
      </c>
      <c r="Y154" s="27">
        <v>100000</v>
      </c>
      <c r="Z154" s="27" t="s">
        <v>117</v>
      </c>
      <c r="AA154" s="24" t="s">
        <v>33</v>
      </c>
      <c r="AB154" s="24" t="s">
        <v>950</v>
      </c>
      <c r="AC154" s="30"/>
      <c r="AD154" s="24"/>
      <c r="AE154" s="27" t="s">
        <v>9</v>
      </c>
      <c r="AF154" s="31"/>
      <c r="AG154" s="24"/>
      <c r="AH154" s="27"/>
      <c r="AI154" s="27" t="s">
        <v>1</v>
      </c>
      <c r="AJ154" s="28"/>
      <c r="AK154" s="31">
        <v>46058</v>
      </c>
      <c r="AL154" s="28"/>
      <c r="AM154" s="28" t="s">
        <v>17</v>
      </c>
      <c r="AN154" s="31">
        <v>46063</v>
      </c>
      <c r="AO154" s="40"/>
    </row>
    <row r="155" spans="1:42" s="32" customFormat="1" x14ac:dyDescent="0.45">
      <c r="A155" s="37" t="s">
        <v>980</v>
      </c>
      <c r="B155" s="25">
        <v>45992</v>
      </c>
      <c r="C155" s="26">
        <v>2025</v>
      </c>
      <c r="D155" s="24" t="s">
        <v>105</v>
      </c>
      <c r="E155" s="24" t="s">
        <v>24</v>
      </c>
      <c r="F155" s="24" t="s">
        <v>123</v>
      </c>
      <c r="G155" s="24" t="s">
        <v>50</v>
      </c>
      <c r="H155" s="24" t="s">
        <v>9</v>
      </c>
      <c r="I155" s="24" t="s">
        <v>10</v>
      </c>
      <c r="J155" s="24" t="s">
        <v>595</v>
      </c>
      <c r="K155" s="24" t="s">
        <v>596</v>
      </c>
      <c r="L155" s="24" t="s">
        <v>149</v>
      </c>
      <c r="M155" s="24" t="s">
        <v>597</v>
      </c>
      <c r="N155" s="24" t="s">
        <v>598</v>
      </c>
      <c r="O155" s="27" t="s">
        <v>599</v>
      </c>
      <c r="P155" s="27" t="s">
        <v>112</v>
      </c>
      <c r="Q155" s="24" t="s">
        <v>981</v>
      </c>
      <c r="R155" s="27" t="s">
        <v>982</v>
      </c>
      <c r="S155" s="28" t="s">
        <v>983</v>
      </c>
      <c r="T155" s="27">
        <v>0.96599999999999997</v>
      </c>
      <c r="U155" s="27" t="s">
        <v>116</v>
      </c>
      <c r="V155" s="27">
        <v>0.96599999999999997</v>
      </c>
      <c r="W155" s="27">
        <v>22.7</v>
      </c>
      <c r="X155" s="29">
        <v>0.95744493392070484</v>
      </c>
      <c r="Y155" s="27">
        <v>50000</v>
      </c>
      <c r="Z155" s="27" t="s">
        <v>117</v>
      </c>
      <c r="AA155" s="24" t="s">
        <v>33</v>
      </c>
      <c r="AB155" s="24" t="s">
        <v>950</v>
      </c>
      <c r="AC155" s="30"/>
      <c r="AD155" s="24"/>
      <c r="AE155" s="27" t="s">
        <v>9</v>
      </c>
      <c r="AF155" s="31"/>
      <c r="AG155" s="24"/>
      <c r="AH155" s="27"/>
      <c r="AI155" s="27" t="s">
        <v>1</v>
      </c>
      <c r="AJ155" s="28"/>
      <c r="AK155" s="31">
        <v>46058</v>
      </c>
      <c r="AL155" s="28"/>
      <c r="AM155" s="28" t="s">
        <v>17</v>
      </c>
      <c r="AN155" s="31">
        <v>46063</v>
      </c>
      <c r="AO155" s="40"/>
    </row>
    <row r="156" spans="1:42" s="32" customFormat="1" x14ac:dyDescent="0.45">
      <c r="A156" s="37" t="s">
        <v>984</v>
      </c>
      <c r="B156" s="25">
        <v>45992</v>
      </c>
      <c r="C156" s="26">
        <v>2025</v>
      </c>
      <c r="D156" s="24" t="s">
        <v>105</v>
      </c>
      <c r="E156" s="24" t="s">
        <v>24</v>
      </c>
      <c r="F156" s="24" t="s">
        <v>123</v>
      </c>
      <c r="G156" s="24" t="s">
        <v>50</v>
      </c>
      <c r="H156" s="24" t="s">
        <v>9</v>
      </c>
      <c r="I156" s="24" t="s">
        <v>10</v>
      </c>
      <c r="J156" s="24" t="s">
        <v>556</v>
      </c>
      <c r="K156" s="24" t="s">
        <v>557</v>
      </c>
      <c r="L156" s="24" t="s">
        <v>149</v>
      </c>
      <c r="M156" s="24" t="s">
        <v>558</v>
      </c>
      <c r="N156" s="24" t="s">
        <v>228</v>
      </c>
      <c r="O156" s="27" t="s">
        <v>701</v>
      </c>
      <c r="P156" s="27" t="s">
        <v>112</v>
      </c>
      <c r="Q156" s="24" t="s">
        <v>985</v>
      </c>
      <c r="R156" s="27" t="s">
        <v>986</v>
      </c>
      <c r="S156" s="28" t="s">
        <v>987</v>
      </c>
      <c r="T156" s="27">
        <v>0.996</v>
      </c>
      <c r="U156" s="27" t="s">
        <v>116</v>
      </c>
      <c r="V156" s="27">
        <v>0.996</v>
      </c>
      <c r="W156" s="27"/>
      <c r="X156" s="29"/>
      <c r="Y156" s="27">
        <v>100000</v>
      </c>
      <c r="Z156" s="27" t="s">
        <v>117</v>
      </c>
      <c r="AA156" s="24" t="s">
        <v>33</v>
      </c>
      <c r="AB156" s="24" t="s">
        <v>222</v>
      </c>
      <c r="AC156" s="30"/>
      <c r="AD156" s="24"/>
      <c r="AE156" s="27" t="s">
        <v>9</v>
      </c>
      <c r="AF156" s="31"/>
      <c r="AG156" s="24"/>
      <c r="AH156" s="27"/>
      <c r="AI156" s="27" t="s">
        <v>2</v>
      </c>
      <c r="AJ156" s="28" t="s">
        <v>21</v>
      </c>
      <c r="AK156" s="31"/>
      <c r="AL156" s="28"/>
      <c r="AM156" s="28"/>
      <c r="AN156" s="31"/>
      <c r="AO156" s="40"/>
    </row>
    <row r="157" spans="1:42" s="32" customFormat="1" x14ac:dyDescent="0.45">
      <c r="A157" s="37" t="s">
        <v>988</v>
      </c>
      <c r="B157" s="25">
        <v>45992</v>
      </c>
      <c r="C157" s="26">
        <v>2025</v>
      </c>
      <c r="D157" s="24" t="s">
        <v>105</v>
      </c>
      <c r="E157" s="24" t="s">
        <v>24</v>
      </c>
      <c r="F157" s="24" t="s">
        <v>123</v>
      </c>
      <c r="G157" s="24" t="s">
        <v>50</v>
      </c>
      <c r="H157" s="24" t="s">
        <v>9</v>
      </c>
      <c r="I157" s="24" t="s">
        <v>10</v>
      </c>
      <c r="J157" s="24" t="s">
        <v>696</v>
      </c>
      <c r="K157" s="24" t="s">
        <v>697</v>
      </c>
      <c r="L157" s="24" t="s">
        <v>698</v>
      </c>
      <c r="M157" s="24" t="s">
        <v>699</v>
      </c>
      <c r="N157" s="24" t="s">
        <v>700</v>
      </c>
      <c r="O157" s="27" t="s">
        <v>737</v>
      </c>
      <c r="P157" s="27" t="s">
        <v>112</v>
      </c>
      <c r="Q157" s="24" t="s">
        <v>989</v>
      </c>
      <c r="R157" s="27" t="s">
        <v>990</v>
      </c>
      <c r="S157" s="28" t="s">
        <v>991</v>
      </c>
      <c r="T157" s="27">
        <v>0.01</v>
      </c>
      <c r="U157" s="27" t="s">
        <v>116</v>
      </c>
      <c r="V157" s="27">
        <v>0.01</v>
      </c>
      <c r="W157" s="27"/>
      <c r="X157" s="29"/>
      <c r="Y157" s="27">
        <v>1</v>
      </c>
      <c r="Z157" s="27" t="s">
        <v>117</v>
      </c>
      <c r="AA157" s="24" t="s">
        <v>33</v>
      </c>
      <c r="AB157" s="24" t="s">
        <v>992</v>
      </c>
      <c r="AC157" s="30"/>
      <c r="AD157" s="24"/>
      <c r="AE157" s="27" t="s">
        <v>9</v>
      </c>
      <c r="AF157" s="31"/>
      <c r="AG157" s="24"/>
      <c r="AH157" s="27"/>
      <c r="AI157" s="27" t="s">
        <v>2</v>
      </c>
      <c r="AJ157" s="28" t="s">
        <v>1520</v>
      </c>
      <c r="AK157" s="31"/>
      <c r="AL157" s="28"/>
      <c r="AM157" s="28"/>
      <c r="AN157" s="31"/>
      <c r="AO157" s="40" t="s">
        <v>1570</v>
      </c>
      <c r="AP157" s="32" t="s">
        <v>945</v>
      </c>
    </row>
    <row r="158" spans="1:42" s="32" customFormat="1" x14ac:dyDescent="0.45">
      <c r="A158" s="89" t="s">
        <v>993</v>
      </c>
      <c r="B158" s="90">
        <v>45992</v>
      </c>
      <c r="C158" s="91">
        <v>2025</v>
      </c>
      <c r="D158" s="92" t="s">
        <v>105</v>
      </c>
      <c r="E158" s="92" t="s">
        <v>24</v>
      </c>
      <c r="F158" s="92" t="s">
        <v>123</v>
      </c>
      <c r="G158" s="92" t="s">
        <v>50</v>
      </c>
      <c r="H158" s="24" t="s">
        <v>9</v>
      </c>
      <c r="I158" s="92" t="s">
        <v>10</v>
      </c>
      <c r="J158" s="92" t="s">
        <v>556</v>
      </c>
      <c r="K158" s="92" t="s">
        <v>557</v>
      </c>
      <c r="L158" s="92" t="s">
        <v>149</v>
      </c>
      <c r="M158" s="92" t="s">
        <v>558</v>
      </c>
      <c r="N158" s="92" t="s">
        <v>228</v>
      </c>
      <c r="O158" s="93" t="s">
        <v>737</v>
      </c>
      <c r="P158" s="93" t="s">
        <v>112</v>
      </c>
      <c r="Q158" s="92" t="s">
        <v>994</v>
      </c>
      <c r="R158" s="93" t="s">
        <v>995</v>
      </c>
      <c r="S158" s="94" t="s">
        <v>744</v>
      </c>
      <c r="T158" s="93">
        <v>0.996</v>
      </c>
      <c r="U158" s="93" t="s">
        <v>116</v>
      </c>
      <c r="V158" s="93">
        <v>0.996</v>
      </c>
      <c r="W158" s="93"/>
      <c r="X158" s="95"/>
      <c r="Y158" s="93">
        <v>100000</v>
      </c>
      <c r="Z158" s="93" t="s">
        <v>117</v>
      </c>
      <c r="AA158" s="92" t="s">
        <v>33</v>
      </c>
      <c r="AB158" s="92" t="s">
        <v>222</v>
      </c>
      <c r="AC158" s="96"/>
      <c r="AD158" s="92"/>
      <c r="AE158" s="93" t="s">
        <v>9</v>
      </c>
      <c r="AF158" s="97"/>
      <c r="AG158" s="92"/>
      <c r="AH158" s="93"/>
      <c r="AI158" s="93" t="s">
        <v>2</v>
      </c>
      <c r="AJ158" s="28" t="s">
        <v>21</v>
      </c>
      <c r="AK158" s="97"/>
      <c r="AL158" s="94"/>
      <c r="AM158" s="94"/>
      <c r="AN158" s="97"/>
      <c r="AO158" s="98"/>
    </row>
    <row r="159" spans="1:42" x14ac:dyDescent="0.45">
      <c r="A159" s="35" t="s">
        <v>996</v>
      </c>
      <c r="B159" s="61">
        <v>46023</v>
      </c>
      <c r="C159" s="62">
        <v>2026</v>
      </c>
      <c r="D159" s="63" t="s">
        <v>105</v>
      </c>
      <c r="E159" s="63" t="s">
        <v>24</v>
      </c>
      <c r="F159" s="63" t="s">
        <v>123</v>
      </c>
      <c r="G159" s="5" t="s">
        <v>50</v>
      </c>
      <c r="H159" s="5" t="s">
        <v>9</v>
      </c>
      <c r="I159" s="63" t="s">
        <v>9</v>
      </c>
      <c r="J159" s="63" t="s">
        <v>997</v>
      </c>
      <c r="K159" s="63" t="s">
        <v>998</v>
      </c>
      <c r="L159" s="63" t="s">
        <v>139</v>
      </c>
      <c r="M159" s="63" t="s">
        <v>999</v>
      </c>
      <c r="N159" s="63" t="s">
        <v>1000</v>
      </c>
      <c r="O159" s="64" t="s">
        <v>1001</v>
      </c>
      <c r="P159" s="64" t="s">
        <v>112</v>
      </c>
      <c r="Q159" s="63" t="s">
        <v>1002</v>
      </c>
      <c r="R159" s="64" t="s">
        <v>1003</v>
      </c>
      <c r="S159" s="65" t="s">
        <v>1004</v>
      </c>
      <c r="T159" s="64">
        <v>6</v>
      </c>
      <c r="U159" s="64" t="s">
        <v>116</v>
      </c>
      <c r="V159" s="64">
        <v>6</v>
      </c>
      <c r="W159" s="64"/>
      <c r="X159" s="66"/>
      <c r="Y159" s="64">
        <v>99999</v>
      </c>
      <c r="Z159" s="8" t="s">
        <v>117</v>
      </c>
      <c r="AA159" s="5" t="s">
        <v>42</v>
      </c>
      <c r="AB159" s="5" t="s">
        <v>222</v>
      </c>
      <c r="AC159" s="67"/>
      <c r="AD159" s="63"/>
      <c r="AE159" s="64" t="s">
        <v>9</v>
      </c>
      <c r="AF159" s="68"/>
      <c r="AG159" s="63"/>
      <c r="AH159" s="64"/>
      <c r="AI159" s="8" t="s">
        <v>1</v>
      </c>
      <c r="AJ159" s="9"/>
      <c r="AK159" s="68">
        <v>46078</v>
      </c>
      <c r="AL159" s="65" t="s">
        <v>1005</v>
      </c>
      <c r="AM159" s="65" t="s">
        <v>17</v>
      </c>
      <c r="AN159" s="68">
        <v>46084</v>
      </c>
      <c r="AO159" s="69"/>
    </row>
    <row r="160" spans="1:42" x14ac:dyDescent="0.45">
      <c r="A160" s="60" t="s">
        <v>1006</v>
      </c>
      <c r="B160" s="61">
        <v>46023</v>
      </c>
      <c r="C160" s="62">
        <v>2026</v>
      </c>
      <c r="D160" s="63" t="s">
        <v>105</v>
      </c>
      <c r="E160" s="63" t="s">
        <v>24</v>
      </c>
      <c r="F160" s="63" t="s">
        <v>123</v>
      </c>
      <c r="G160" s="5" t="s">
        <v>50</v>
      </c>
      <c r="H160" s="5" t="s">
        <v>9</v>
      </c>
      <c r="I160" s="63" t="s">
        <v>9</v>
      </c>
      <c r="J160" s="63" t="s">
        <v>1007</v>
      </c>
      <c r="K160" s="63" t="s">
        <v>1008</v>
      </c>
      <c r="L160" s="63" t="s">
        <v>1009</v>
      </c>
      <c r="M160" s="63" t="s">
        <v>1010</v>
      </c>
      <c r="N160" s="63" t="s">
        <v>1011</v>
      </c>
      <c r="O160" s="64" t="s">
        <v>1012</v>
      </c>
      <c r="P160" s="64" t="s">
        <v>112</v>
      </c>
      <c r="Q160" s="63" t="s">
        <v>1013</v>
      </c>
      <c r="R160" s="64" t="s">
        <v>1014</v>
      </c>
      <c r="S160" s="65" t="s">
        <v>1015</v>
      </c>
      <c r="T160" s="64">
        <v>0.11</v>
      </c>
      <c r="U160" s="64" t="s">
        <v>116</v>
      </c>
      <c r="V160" s="64">
        <v>0.11</v>
      </c>
      <c r="W160" s="64"/>
      <c r="X160" s="66"/>
      <c r="Y160" s="64">
        <v>100000</v>
      </c>
      <c r="Z160" s="8" t="s">
        <v>117</v>
      </c>
      <c r="AA160" s="5" t="s">
        <v>42</v>
      </c>
      <c r="AB160" s="5" t="s">
        <v>222</v>
      </c>
      <c r="AC160" s="67"/>
      <c r="AD160" s="63"/>
      <c r="AE160" s="64" t="s">
        <v>9</v>
      </c>
      <c r="AF160" s="68"/>
      <c r="AG160" s="63"/>
      <c r="AH160" s="64"/>
      <c r="AI160" s="8" t="s">
        <v>1</v>
      </c>
      <c r="AJ160" s="9"/>
      <c r="AK160" s="68">
        <v>46078</v>
      </c>
      <c r="AL160" s="65" t="s">
        <v>1005</v>
      </c>
      <c r="AM160" s="65" t="s">
        <v>17</v>
      </c>
      <c r="AN160" s="68">
        <v>46084</v>
      </c>
      <c r="AO160" s="69"/>
    </row>
    <row r="161" spans="1:41" x14ac:dyDescent="0.45">
      <c r="A161" s="35" t="s">
        <v>1016</v>
      </c>
      <c r="B161" s="61">
        <v>46023</v>
      </c>
      <c r="C161" s="62">
        <v>2026</v>
      </c>
      <c r="D161" s="63" t="s">
        <v>105</v>
      </c>
      <c r="E161" s="63" t="s">
        <v>24</v>
      </c>
      <c r="F161" s="63" t="s">
        <v>123</v>
      </c>
      <c r="G161" s="5" t="s">
        <v>50</v>
      </c>
      <c r="H161" s="5" t="s">
        <v>9</v>
      </c>
      <c r="I161" s="63" t="s">
        <v>9</v>
      </c>
      <c r="J161" s="63" t="s">
        <v>1017</v>
      </c>
      <c r="K161" s="63" t="s">
        <v>1018</v>
      </c>
      <c r="L161" s="63" t="s">
        <v>149</v>
      </c>
      <c r="M161" s="63" t="s">
        <v>1019</v>
      </c>
      <c r="N161" s="63" t="s">
        <v>1020</v>
      </c>
      <c r="O161" s="64" t="s">
        <v>899</v>
      </c>
      <c r="P161" s="64" t="s">
        <v>112</v>
      </c>
      <c r="Q161" s="63" t="s">
        <v>1021</v>
      </c>
      <c r="R161" s="64" t="s">
        <v>1022</v>
      </c>
      <c r="S161" s="65" t="s">
        <v>1023</v>
      </c>
      <c r="T161" s="64">
        <v>1</v>
      </c>
      <c r="U161" s="64" t="s">
        <v>116</v>
      </c>
      <c r="V161" s="64">
        <v>1</v>
      </c>
      <c r="W161" s="64"/>
      <c r="X161" s="66"/>
      <c r="Y161" s="64">
        <v>10000</v>
      </c>
      <c r="Z161" s="8" t="s">
        <v>117</v>
      </c>
      <c r="AA161" s="5" t="s">
        <v>42</v>
      </c>
      <c r="AB161" s="5" t="s">
        <v>222</v>
      </c>
      <c r="AC161" s="67"/>
      <c r="AD161" s="63"/>
      <c r="AE161" s="64" t="s">
        <v>9</v>
      </c>
      <c r="AF161" s="68"/>
      <c r="AG161" s="63"/>
      <c r="AH161" s="64"/>
      <c r="AI161" s="8" t="s">
        <v>1</v>
      </c>
      <c r="AJ161" s="9"/>
      <c r="AK161" s="68">
        <v>46078</v>
      </c>
      <c r="AL161" s="65" t="s">
        <v>1005</v>
      </c>
      <c r="AM161" s="65" t="s">
        <v>17</v>
      </c>
      <c r="AN161" s="68">
        <v>46084</v>
      </c>
      <c r="AO161" s="69"/>
    </row>
    <row r="162" spans="1:41" x14ac:dyDescent="0.45">
      <c r="A162" s="60" t="s">
        <v>1024</v>
      </c>
      <c r="B162" s="61">
        <v>46023</v>
      </c>
      <c r="C162" s="62">
        <v>2026</v>
      </c>
      <c r="D162" s="63" t="s">
        <v>105</v>
      </c>
      <c r="E162" s="63" t="s">
        <v>24</v>
      </c>
      <c r="F162" s="63" t="s">
        <v>123</v>
      </c>
      <c r="G162" s="5" t="s">
        <v>50</v>
      </c>
      <c r="H162" s="5" t="s">
        <v>9</v>
      </c>
      <c r="I162" s="63" t="s">
        <v>9</v>
      </c>
      <c r="J162" s="63" t="s">
        <v>1025</v>
      </c>
      <c r="K162" s="63" t="s">
        <v>1026</v>
      </c>
      <c r="L162" s="63" t="s">
        <v>139</v>
      </c>
      <c r="M162" s="63" t="s">
        <v>1027</v>
      </c>
      <c r="N162" s="63" t="s">
        <v>1028</v>
      </c>
      <c r="O162" s="64" t="s">
        <v>937</v>
      </c>
      <c r="P162" s="64" t="s">
        <v>112</v>
      </c>
      <c r="Q162" s="63" t="s">
        <v>1029</v>
      </c>
      <c r="R162" s="64" t="s">
        <v>1030</v>
      </c>
      <c r="S162" s="65" t="s">
        <v>1031</v>
      </c>
      <c r="T162" s="64">
        <v>0.55000000000000004</v>
      </c>
      <c r="U162" s="64" t="s">
        <v>116</v>
      </c>
      <c r="V162" s="64">
        <v>0.55000000000000004</v>
      </c>
      <c r="W162" s="64"/>
      <c r="X162" s="66"/>
      <c r="Y162" s="64">
        <v>10000000</v>
      </c>
      <c r="Z162" s="8" t="s">
        <v>117</v>
      </c>
      <c r="AA162" s="5" t="s">
        <v>42</v>
      </c>
      <c r="AB162" s="5" t="s">
        <v>222</v>
      </c>
      <c r="AC162" s="67"/>
      <c r="AD162" s="63"/>
      <c r="AE162" s="64" t="s">
        <v>9</v>
      </c>
      <c r="AF162" s="68"/>
      <c r="AG162" s="63"/>
      <c r="AH162" s="64"/>
      <c r="AI162" s="8" t="s">
        <v>1</v>
      </c>
      <c r="AJ162" s="9"/>
      <c r="AK162" s="68">
        <v>46078</v>
      </c>
      <c r="AL162" s="65" t="s">
        <v>1005</v>
      </c>
      <c r="AM162" s="65" t="s">
        <v>17</v>
      </c>
      <c r="AN162" s="68">
        <v>46084</v>
      </c>
      <c r="AO162" s="69"/>
    </row>
    <row r="163" spans="1:41" x14ac:dyDescent="0.45">
      <c r="A163" s="35" t="s">
        <v>1032</v>
      </c>
      <c r="B163" s="61">
        <v>46023</v>
      </c>
      <c r="C163" s="62">
        <v>2026</v>
      </c>
      <c r="D163" s="63" t="s">
        <v>105</v>
      </c>
      <c r="E163" s="63" t="s">
        <v>24</v>
      </c>
      <c r="F163" s="63" t="s">
        <v>123</v>
      </c>
      <c r="G163" s="5" t="s">
        <v>50</v>
      </c>
      <c r="H163" s="5" t="s">
        <v>9</v>
      </c>
      <c r="I163" s="63" t="s">
        <v>9</v>
      </c>
      <c r="J163" s="63" t="s">
        <v>1033</v>
      </c>
      <c r="K163" s="63" t="s">
        <v>1034</v>
      </c>
      <c r="L163" s="63" t="s">
        <v>323</v>
      </c>
      <c r="M163" s="63" t="s">
        <v>1035</v>
      </c>
      <c r="N163" s="63" t="s">
        <v>1036</v>
      </c>
      <c r="O163" s="64" t="s">
        <v>937</v>
      </c>
      <c r="P163" s="64" t="s">
        <v>112</v>
      </c>
      <c r="Q163" s="63" t="s">
        <v>1037</v>
      </c>
      <c r="R163" s="64" t="s">
        <v>1038</v>
      </c>
      <c r="S163" s="65" t="s">
        <v>1039</v>
      </c>
      <c r="T163" s="64">
        <v>0.55000000000000004</v>
      </c>
      <c r="U163" s="64" t="s">
        <v>116</v>
      </c>
      <c r="V163" s="64">
        <v>0.55000000000000004</v>
      </c>
      <c r="W163" s="64"/>
      <c r="X163" s="66"/>
      <c r="Y163" s="64">
        <v>1000000</v>
      </c>
      <c r="Z163" s="8" t="s">
        <v>117</v>
      </c>
      <c r="AA163" s="5" t="s">
        <v>42</v>
      </c>
      <c r="AB163" s="5" t="s">
        <v>222</v>
      </c>
      <c r="AC163" s="67"/>
      <c r="AD163" s="63"/>
      <c r="AE163" s="64" t="s">
        <v>9</v>
      </c>
      <c r="AF163" s="68"/>
      <c r="AG163" s="63"/>
      <c r="AH163" s="64"/>
      <c r="AI163" s="8" t="s">
        <v>1</v>
      </c>
      <c r="AJ163" s="9"/>
      <c r="AK163" s="68">
        <v>46078</v>
      </c>
      <c r="AL163" s="65" t="s">
        <v>1005</v>
      </c>
      <c r="AM163" s="65" t="s">
        <v>17</v>
      </c>
      <c r="AN163" s="68">
        <v>46084</v>
      </c>
      <c r="AO163" s="69"/>
    </row>
    <row r="164" spans="1:41" x14ac:dyDescent="0.45">
      <c r="A164" s="60" t="s">
        <v>1040</v>
      </c>
      <c r="B164" s="61">
        <v>46023</v>
      </c>
      <c r="C164" s="62">
        <v>2026</v>
      </c>
      <c r="D164" s="63" t="s">
        <v>105</v>
      </c>
      <c r="E164" s="63" t="s">
        <v>24</v>
      </c>
      <c r="F164" s="63" t="s">
        <v>123</v>
      </c>
      <c r="G164" s="5" t="s">
        <v>50</v>
      </c>
      <c r="H164" s="5" t="s">
        <v>9</v>
      </c>
      <c r="I164" s="63" t="s">
        <v>9</v>
      </c>
      <c r="J164" s="63" t="s">
        <v>1041</v>
      </c>
      <c r="K164" s="63" t="s">
        <v>1042</v>
      </c>
      <c r="L164" s="63" t="s">
        <v>323</v>
      </c>
      <c r="M164" s="63" t="s">
        <v>1043</v>
      </c>
      <c r="N164" s="63" t="s">
        <v>1044</v>
      </c>
      <c r="O164" s="64" t="s">
        <v>1045</v>
      </c>
      <c r="P164" s="64" t="s">
        <v>112</v>
      </c>
      <c r="Q164" s="63" t="s">
        <v>1046</v>
      </c>
      <c r="R164" s="64" t="s">
        <v>1047</v>
      </c>
      <c r="S164" s="65" t="s">
        <v>1048</v>
      </c>
      <c r="T164" s="64">
        <v>1.2</v>
      </c>
      <c r="U164" s="64" t="s">
        <v>116</v>
      </c>
      <c r="V164" s="64">
        <v>1.2</v>
      </c>
      <c r="W164" s="64"/>
      <c r="X164" s="66"/>
      <c r="Y164" s="64">
        <v>1000000</v>
      </c>
      <c r="Z164" s="8" t="s">
        <v>117</v>
      </c>
      <c r="AA164" s="5" t="s">
        <v>42</v>
      </c>
      <c r="AB164" s="5" t="s">
        <v>222</v>
      </c>
      <c r="AC164" s="67"/>
      <c r="AD164" s="63"/>
      <c r="AE164" s="64" t="s">
        <v>9</v>
      </c>
      <c r="AF164" s="68"/>
      <c r="AG164" s="63"/>
      <c r="AH164" s="64"/>
      <c r="AI164" s="8" t="s">
        <v>1</v>
      </c>
      <c r="AJ164" s="9"/>
      <c r="AK164" s="68">
        <v>46078</v>
      </c>
      <c r="AL164" s="65" t="s">
        <v>1049</v>
      </c>
      <c r="AM164" s="65" t="s">
        <v>17</v>
      </c>
      <c r="AN164" s="68">
        <v>46084</v>
      </c>
      <c r="AO164" s="69"/>
    </row>
    <row r="165" spans="1:41" x14ac:dyDescent="0.45">
      <c r="A165" s="35" t="s">
        <v>1050</v>
      </c>
      <c r="B165" s="61">
        <v>46023</v>
      </c>
      <c r="C165" s="62">
        <v>2026</v>
      </c>
      <c r="D165" s="63" t="s">
        <v>105</v>
      </c>
      <c r="E165" s="63" t="s">
        <v>24</v>
      </c>
      <c r="F165" s="63" t="s">
        <v>123</v>
      </c>
      <c r="G165" s="5" t="s">
        <v>50</v>
      </c>
      <c r="H165" s="5" t="s">
        <v>9</v>
      </c>
      <c r="I165" s="63" t="s">
        <v>9</v>
      </c>
      <c r="J165" s="63" t="s">
        <v>1051</v>
      </c>
      <c r="K165" s="63" t="s">
        <v>1052</v>
      </c>
      <c r="L165" s="63" t="s">
        <v>1053</v>
      </c>
      <c r="M165" s="63" t="s">
        <v>1054</v>
      </c>
      <c r="N165" s="63" t="s">
        <v>112</v>
      </c>
      <c r="O165" s="64" t="s">
        <v>1045</v>
      </c>
      <c r="P165" s="64" t="s">
        <v>112</v>
      </c>
      <c r="Q165" s="63" t="s">
        <v>1055</v>
      </c>
      <c r="R165" s="64" t="s">
        <v>1056</v>
      </c>
      <c r="S165" s="65" t="s">
        <v>1057</v>
      </c>
      <c r="T165" s="64">
        <v>0.6</v>
      </c>
      <c r="U165" s="64" t="s">
        <v>116</v>
      </c>
      <c r="V165" s="64">
        <v>0.6</v>
      </c>
      <c r="W165" s="64"/>
      <c r="X165" s="66"/>
      <c r="Y165" s="64">
        <v>1000000</v>
      </c>
      <c r="Z165" s="8" t="s">
        <v>117</v>
      </c>
      <c r="AA165" s="5" t="s">
        <v>42</v>
      </c>
      <c r="AB165" s="5" t="s">
        <v>222</v>
      </c>
      <c r="AC165" s="67"/>
      <c r="AD165" s="63"/>
      <c r="AE165" s="64" t="s">
        <v>9</v>
      </c>
      <c r="AF165" s="68"/>
      <c r="AG165" s="63"/>
      <c r="AH165" s="64"/>
      <c r="AI165" s="8" t="s">
        <v>1</v>
      </c>
      <c r="AJ165" s="9"/>
      <c r="AK165" s="68">
        <v>46078</v>
      </c>
      <c r="AL165" s="65" t="s">
        <v>1049</v>
      </c>
      <c r="AM165" s="65" t="s">
        <v>17</v>
      </c>
      <c r="AN165" s="68">
        <v>46084</v>
      </c>
      <c r="AO165" s="69"/>
    </row>
    <row r="166" spans="1:41" x14ac:dyDescent="0.45">
      <c r="A166" s="60" t="s">
        <v>1058</v>
      </c>
      <c r="B166" s="61">
        <v>46023</v>
      </c>
      <c r="C166" s="62">
        <v>2026</v>
      </c>
      <c r="D166" s="63" t="s">
        <v>105</v>
      </c>
      <c r="E166" s="63" t="s">
        <v>24</v>
      </c>
      <c r="F166" s="63" t="s">
        <v>123</v>
      </c>
      <c r="G166" s="5" t="s">
        <v>50</v>
      </c>
      <c r="H166" s="5" t="s">
        <v>9</v>
      </c>
      <c r="I166" s="63" t="s">
        <v>9</v>
      </c>
      <c r="J166" s="63" t="s">
        <v>1051</v>
      </c>
      <c r="K166" s="63" t="s">
        <v>1052</v>
      </c>
      <c r="L166" s="63" t="s">
        <v>1053</v>
      </c>
      <c r="M166" s="63" t="s">
        <v>1054</v>
      </c>
      <c r="N166" s="63" t="s">
        <v>112</v>
      </c>
      <c r="O166" s="64" t="s">
        <v>1045</v>
      </c>
      <c r="P166" s="64" t="s">
        <v>112</v>
      </c>
      <c r="Q166" s="63" t="s">
        <v>1059</v>
      </c>
      <c r="R166" s="64" t="s">
        <v>1060</v>
      </c>
      <c r="S166" s="65" t="s">
        <v>1061</v>
      </c>
      <c r="T166" s="64">
        <v>0.6</v>
      </c>
      <c r="U166" s="64" t="s">
        <v>116</v>
      </c>
      <c r="V166" s="64">
        <v>0.6</v>
      </c>
      <c r="W166" s="64"/>
      <c r="X166" s="66"/>
      <c r="Y166" s="64">
        <v>1000000</v>
      </c>
      <c r="Z166" s="8" t="s">
        <v>117</v>
      </c>
      <c r="AA166" s="5" t="s">
        <v>42</v>
      </c>
      <c r="AB166" s="5" t="s">
        <v>222</v>
      </c>
      <c r="AC166" s="67"/>
      <c r="AD166" s="63"/>
      <c r="AE166" s="64" t="s">
        <v>9</v>
      </c>
      <c r="AF166" s="68"/>
      <c r="AG166" s="63"/>
      <c r="AH166" s="64"/>
      <c r="AI166" s="8" t="s">
        <v>1</v>
      </c>
      <c r="AJ166" s="9"/>
      <c r="AK166" s="68">
        <v>46078</v>
      </c>
      <c r="AL166" s="65" t="s">
        <v>1049</v>
      </c>
      <c r="AM166" s="65" t="s">
        <v>17</v>
      </c>
      <c r="AN166" s="68">
        <v>46084</v>
      </c>
      <c r="AO166" s="69"/>
    </row>
    <row r="167" spans="1:41" x14ac:dyDescent="0.45">
      <c r="A167" s="35" t="s">
        <v>1062</v>
      </c>
      <c r="B167" s="61">
        <v>46023</v>
      </c>
      <c r="C167" s="62">
        <v>2026</v>
      </c>
      <c r="D167" s="63" t="s">
        <v>105</v>
      </c>
      <c r="E167" s="63" t="s">
        <v>24</v>
      </c>
      <c r="F167" s="63" t="s">
        <v>123</v>
      </c>
      <c r="G167" s="5" t="s">
        <v>50</v>
      </c>
      <c r="H167" s="5" t="s">
        <v>9</v>
      </c>
      <c r="I167" s="63" t="s">
        <v>9</v>
      </c>
      <c r="J167" s="63" t="s">
        <v>1051</v>
      </c>
      <c r="K167" s="63" t="s">
        <v>1052</v>
      </c>
      <c r="L167" s="63" t="s">
        <v>1053</v>
      </c>
      <c r="M167" s="63" t="s">
        <v>1054</v>
      </c>
      <c r="N167" s="63" t="s">
        <v>112</v>
      </c>
      <c r="O167" s="64" t="s">
        <v>1045</v>
      </c>
      <c r="P167" s="64" t="s">
        <v>112</v>
      </c>
      <c r="Q167" s="63" t="s">
        <v>1063</v>
      </c>
      <c r="R167" s="64" t="s">
        <v>1064</v>
      </c>
      <c r="S167" s="65" t="s">
        <v>1065</v>
      </c>
      <c r="T167" s="64">
        <v>0.55000000000000004</v>
      </c>
      <c r="U167" s="64" t="s">
        <v>116</v>
      </c>
      <c r="V167" s="64">
        <v>0.55000000000000004</v>
      </c>
      <c r="W167" s="64"/>
      <c r="X167" s="66"/>
      <c r="Y167" s="64">
        <v>1000000</v>
      </c>
      <c r="Z167" s="8" t="s">
        <v>117</v>
      </c>
      <c r="AA167" s="5" t="s">
        <v>42</v>
      </c>
      <c r="AB167" s="5" t="s">
        <v>222</v>
      </c>
      <c r="AC167" s="67"/>
      <c r="AD167" s="63"/>
      <c r="AE167" s="64" t="s">
        <v>9</v>
      </c>
      <c r="AF167" s="68"/>
      <c r="AG167" s="63"/>
      <c r="AH167" s="64"/>
      <c r="AI167" s="8" t="s">
        <v>1</v>
      </c>
      <c r="AJ167" s="9"/>
      <c r="AK167" s="68">
        <v>46078</v>
      </c>
      <c r="AL167" s="65" t="s">
        <v>1049</v>
      </c>
      <c r="AM167" s="65" t="s">
        <v>17</v>
      </c>
      <c r="AN167" s="68">
        <v>46084</v>
      </c>
      <c r="AO167" s="69"/>
    </row>
    <row r="168" spans="1:41" x14ac:dyDescent="0.45">
      <c r="A168" s="60" t="s">
        <v>1066</v>
      </c>
      <c r="B168" s="61">
        <v>46023</v>
      </c>
      <c r="C168" s="62">
        <v>2026</v>
      </c>
      <c r="D168" s="63" t="s">
        <v>105</v>
      </c>
      <c r="E168" s="63" t="s">
        <v>24</v>
      </c>
      <c r="F168" s="63" t="s">
        <v>123</v>
      </c>
      <c r="G168" s="5" t="s">
        <v>50</v>
      </c>
      <c r="H168" s="5" t="s">
        <v>9</v>
      </c>
      <c r="I168" s="63" t="s">
        <v>9</v>
      </c>
      <c r="J168" s="63" t="s">
        <v>1051</v>
      </c>
      <c r="K168" s="63" t="s">
        <v>1052</v>
      </c>
      <c r="L168" s="63" t="s">
        <v>1053</v>
      </c>
      <c r="M168" s="63" t="s">
        <v>1054</v>
      </c>
      <c r="N168" s="63" t="s">
        <v>112</v>
      </c>
      <c r="O168" s="64" t="s">
        <v>1045</v>
      </c>
      <c r="P168" s="64" t="s">
        <v>112</v>
      </c>
      <c r="Q168" s="63" t="s">
        <v>1067</v>
      </c>
      <c r="R168" s="64" t="s">
        <v>1068</v>
      </c>
      <c r="S168" s="65" t="s">
        <v>1069</v>
      </c>
      <c r="T168" s="64">
        <v>0.55000000000000004</v>
      </c>
      <c r="U168" s="64" t="s">
        <v>116</v>
      </c>
      <c r="V168" s="64">
        <v>0.55000000000000004</v>
      </c>
      <c r="W168" s="64"/>
      <c r="X168" s="66"/>
      <c r="Y168" s="64">
        <v>1000000</v>
      </c>
      <c r="Z168" s="8" t="s">
        <v>117</v>
      </c>
      <c r="AA168" s="5" t="s">
        <v>42</v>
      </c>
      <c r="AB168" s="5" t="s">
        <v>222</v>
      </c>
      <c r="AC168" s="67"/>
      <c r="AD168" s="63"/>
      <c r="AE168" s="64" t="s">
        <v>9</v>
      </c>
      <c r="AF168" s="68"/>
      <c r="AG168" s="63"/>
      <c r="AH168" s="64"/>
      <c r="AI168" s="8" t="s">
        <v>1</v>
      </c>
      <c r="AJ168" s="9"/>
      <c r="AK168" s="68">
        <v>46078</v>
      </c>
      <c r="AL168" s="65" t="s">
        <v>1049</v>
      </c>
      <c r="AM168" s="65" t="s">
        <v>17</v>
      </c>
      <c r="AN168" s="68">
        <v>46084</v>
      </c>
      <c r="AO168" s="69"/>
    </row>
    <row r="169" spans="1:41" x14ac:dyDescent="0.45">
      <c r="A169" s="35" t="s">
        <v>1070</v>
      </c>
      <c r="B169" s="61">
        <v>46023</v>
      </c>
      <c r="C169" s="62">
        <v>2026</v>
      </c>
      <c r="D169" s="63" t="s">
        <v>105</v>
      </c>
      <c r="E169" s="63" t="s">
        <v>24</v>
      </c>
      <c r="F169" s="63" t="s">
        <v>123</v>
      </c>
      <c r="G169" s="5" t="s">
        <v>50</v>
      </c>
      <c r="H169" s="5" t="s">
        <v>9</v>
      </c>
      <c r="I169" s="63" t="s">
        <v>9</v>
      </c>
      <c r="J169" s="63" t="s">
        <v>1025</v>
      </c>
      <c r="K169" s="63" t="s">
        <v>1026</v>
      </c>
      <c r="L169" s="63" t="s">
        <v>139</v>
      </c>
      <c r="M169" s="63" t="s">
        <v>1027</v>
      </c>
      <c r="N169" s="63" t="s">
        <v>1028</v>
      </c>
      <c r="O169" s="64" t="s">
        <v>1045</v>
      </c>
      <c r="P169" s="64" t="s">
        <v>112</v>
      </c>
      <c r="Q169" s="63" t="s">
        <v>1071</v>
      </c>
      <c r="R169" s="64" t="s">
        <v>1072</v>
      </c>
      <c r="S169" s="65" t="s">
        <v>1073</v>
      </c>
      <c r="T169" s="64">
        <v>1.2</v>
      </c>
      <c r="U169" s="64" t="s">
        <v>116</v>
      </c>
      <c r="V169" s="64">
        <v>1.2</v>
      </c>
      <c r="W169" s="64"/>
      <c r="X169" s="66"/>
      <c r="Y169" s="64">
        <v>10000000</v>
      </c>
      <c r="Z169" s="8" t="s">
        <v>117</v>
      </c>
      <c r="AA169" s="5" t="s">
        <v>42</v>
      </c>
      <c r="AB169" s="5" t="s">
        <v>222</v>
      </c>
      <c r="AC169" s="67"/>
      <c r="AD169" s="63"/>
      <c r="AE169" s="64" t="s">
        <v>9</v>
      </c>
      <c r="AF169" s="68"/>
      <c r="AG169" s="63"/>
      <c r="AH169" s="64"/>
      <c r="AI169" s="8" t="s">
        <v>1</v>
      </c>
      <c r="AJ169" s="9"/>
      <c r="AK169" s="68">
        <v>46078</v>
      </c>
      <c r="AL169" s="65" t="s">
        <v>1049</v>
      </c>
      <c r="AM169" s="65" t="s">
        <v>17</v>
      </c>
      <c r="AN169" s="68">
        <v>46084</v>
      </c>
      <c r="AO169" s="69"/>
    </row>
    <row r="170" spans="1:41" s="32" customFormat="1" x14ac:dyDescent="0.45">
      <c r="A170" s="89" t="s">
        <v>1074</v>
      </c>
      <c r="B170" s="90">
        <v>46023</v>
      </c>
      <c r="C170" s="91">
        <v>2026</v>
      </c>
      <c r="D170" s="92" t="s">
        <v>105</v>
      </c>
      <c r="E170" s="92" t="s">
        <v>24</v>
      </c>
      <c r="F170" s="92" t="s">
        <v>123</v>
      </c>
      <c r="G170" s="24" t="s">
        <v>50</v>
      </c>
      <c r="H170" s="24" t="s">
        <v>124</v>
      </c>
      <c r="I170" s="92" t="s">
        <v>10</v>
      </c>
      <c r="J170" s="92" t="s">
        <v>249</v>
      </c>
      <c r="K170" s="92" t="s">
        <v>250</v>
      </c>
      <c r="L170" s="92" t="s">
        <v>149</v>
      </c>
      <c r="M170" s="92" t="s">
        <v>251</v>
      </c>
      <c r="N170" s="92" t="s">
        <v>252</v>
      </c>
      <c r="O170" s="93" t="s">
        <v>1045</v>
      </c>
      <c r="P170" s="93" t="s">
        <v>112</v>
      </c>
      <c r="Q170" s="92" t="s">
        <v>1075</v>
      </c>
      <c r="R170" s="93" t="s">
        <v>1076</v>
      </c>
      <c r="S170" s="94" t="s">
        <v>1077</v>
      </c>
      <c r="T170" s="93">
        <v>1.2</v>
      </c>
      <c r="U170" s="93" t="s">
        <v>116</v>
      </c>
      <c r="V170" s="93">
        <v>1.2</v>
      </c>
      <c r="W170" s="93"/>
      <c r="X170" s="95"/>
      <c r="Y170" s="93">
        <v>100000</v>
      </c>
      <c r="Z170" s="27" t="s">
        <v>117</v>
      </c>
      <c r="AA170" s="24" t="s">
        <v>42</v>
      </c>
      <c r="AB170" s="24" t="s">
        <v>222</v>
      </c>
      <c r="AC170" s="96"/>
      <c r="AD170" s="92"/>
      <c r="AE170" s="93" t="s">
        <v>9</v>
      </c>
      <c r="AF170" s="97"/>
      <c r="AG170" s="92"/>
      <c r="AH170" s="93"/>
      <c r="AI170" s="27" t="s">
        <v>1</v>
      </c>
      <c r="AJ170" s="28"/>
      <c r="AK170" s="97">
        <v>46078</v>
      </c>
      <c r="AL170" s="94" t="s">
        <v>1049</v>
      </c>
      <c r="AM170" s="94" t="s">
        <v>17</v>
      </c>
      <c r="AN170" s="97">
        <v>46084</v>
      </c>
      <c r="AO170" s="98"/>
    </row>
    <row r="171" spans="1:41" s="109" customFormat="1" x14ac:dyDescent="0.45">
      <c r="A171" s="99" t="s">
        <v>1078</v>
      </c>
      <c r="B171" s="111">
        <v>46023</v>
      </c>
      <c r="C171" s="112">
        <v>2026</v>
      </c>
      <c r="D171" s="113" t="s">
        <v>105</v>
      </c>
      <c r="E171" s="113" t="s">
        <v>24</v>
      </c>
      <c r="F171" s="113" t="s">
        <v>123</v>
      </c>
      <c r="G171" s="102" t="s">
        <v>50</v>
      </c>
      <c r="H171" s="102" t="s">
        <v>585</v>
      </c>
      <c r="I171" s="113" t="s">
        <v>10</v>
      </c>
      <c r="J171" s="113" t="s">
        <v>687</v>
      </c>
      <c r="K171" s="113" t="s">
        <v>688</v>
      </c>
      <c r="L171" s="113" t="s">
        <v>149</v>
      </c>
      <c r="M171" s="113" t="s">
        <v>689</v>
      </c>
      <c r="N171" s="113" t="s">
        <v>690</v>
      </c>
      <c r="O171" s="114" t="s">
        <v>1045</v>
      </c>
      <c r="P171" s="114" t="s">
        <v>112</v>
      </c>
      <c r="Q171" s="113" t="s">
        <v>1079</v>
      </c>
      <c r="R171" s="114" t="s">
        <v>1080</v>
      </c>
      <c r="S171" s="115" t="s">
        <v>1081</v>
      </c>
      <c r="T171" s="114">
        <v>1.1000000000000001</v>
      </c>
      <c r="U171" s="114" t="s">
        <v>116</v>
      </c>
      <c r="V171" s="114">
        <v>1.1000000000000001</v>
      </c>
      <c r="W171" s="114"/>
      <c r="X171" s="116"/>
      <c r="Y171" s="114">
        <v>100000</v>
      </c>
      <c r="Z171" s="103" t="s">
        <v>117</v>
      </c>
      <c r="AA171" s="102" t="s">
        <v>42</v>
      </c>
      <c r="AB171" s="102" t="s">
        <v>222</v>
      </c>
      <c r="AC171" s="117"/>
      <c r="AD171" s="113"/>
      <c r="AE171" s="114" t="s">
        <v>9</v>
      </c>
      <c r="AF171" s="118"/>
      <c r="AG171" s="113"/>
      <c r="AH171" s="114"/>
      <c r="AI171" s="103" t="s">
        <v>1</v>
      </c>
      <c r="AJ171" s="104"/>
      <c r="AK171" s="118">
        <v>46078</v>
      </c>
      <c r="AL171" s="115" t="s">
        <v>1049</v>
      </c>
      <c r="AM171" s="115" t="s">
        <v>17</v>
      </c>
      <c r="AN171" s="118">
        <v>46084</v>
      </c>
      <c r="AO171" s="119"/>
    </row>
    <row r="172" spans="1:41" s="109" customFormat="1" x14ac:dyDescent="0.45">
      <c r="A172" s="120" t="s">
        <v>1082</v>
      </c>
      <c r="B172" s="111">
        <v>46023</v>
      </c>
      <c r="C172" s="112">
        <v>2026</v>
      </c>
      <c r="D172" s="113" t="s">
        <v>105</v>
      </c>
      <c r="E172" s="113" t="s">
        <v>24</v>
      </c>
      <c r="F172" s="113" t="s">
        <v>123</v>
      </c>
      <c r="G172" s="102" t="s">
        <v>50</v>
      </c>
      <c r="H172" s="102" t="s">
        <v>585</v>
      </c>
      <c r="I172" s="113" t="s">
        <v>10</v>
      </c>
      <c r="J172" s="113" t="s">
        <v>687</v>
      </c>
      <c r="K172" s="113" t="s">
        <v>688</v>
      </c>
      <c r="L172" s="113" t="s">
        <v>149</v>
      </c>
      <c r="M172" s="113" t="s">
        <v>689</v>
      </c>
      <c r="N172" s="113" t="s">
        <v>690</v>
      </c>
      <c r="O172" s="114" t="s">
        <v>1045</v>
      </c>
      <c r="P172" s="114" t="s">
        <v>112</v>
      </c>
      <c r="Q172" s="113" t="s">
        <v>1083</v>
      </c>
      <c r="R172" s="114" t="s">
        <v>1084</v>
      </c>
      <c r="S172" s="115" t="s">
        <v>1085</v>
      </c>
      <c r="T172" s="114">
        <v>1.2</v>
      </c>
      <c r="U172" s="114" t="s">
        <v>116</v>
      </c>
      <c r="V172" s="114">
        <v>1.2</v>
      </c>
      <c r="W172" s="114"/>
      <c r="X172" s="116"/>
      <c r="Y172" s="114">
        <v>100000</v>
      </c>
      <c r="Z172" s="103" t="s">
        <v>117</v>
      </c>
      <c r="AA172" s="102" t="s">
        <v>42</v>
      </c>
      <c r="AB172" s="102" t="s">
        <v>222</v>
      </c>
      <c r="AC172" s="117"/>
      <c r="AD172" s="113"/>
      <c r="AE172" s="114" t="s">
        <v>9</v>
      </c>
      <c r="AF172" s="118"/>
      <c r="AG172" s="113"/>
      <c r="AH172" s="114"/>
      <c r="AI172" s="103" t="s">
        <v>1</v>
      </c>
      <c r="AJ172" s="104"/>
      <c r="AK172" s="118">
        <v>46078</v>
      </c>
      <c r="AL172" s="115" t="s">
        <v>1049</v>
      </c>
      <c r="AM172" s="115" t="s">
        <v>17</v>
      </c>
      <c r="AN172" s="118">
        <v>46084</v>
      </c>
      <c r="AO172" s="119"/>
    </row>
    <row r="173" spans="1:41" x14ac:dyDescent="0.45">
      <c r="A173" s="35" t="s">
        <v>1086</v>
      </c>
      <c r="B173" s="61">
        <v>46023</v>
      </c>
      <c r="C173" s="62">
        <v>2026</v>
      </c>
      <c r="D173" s="63" t="s">
        <v>105</v>
      </c>
      <c r="E173" s="63" t="s">
        <v>24</v>
      </c>
      <c r="F173" s="63" t="s">
        <v>123</v>
      </c>
      <c r="G173" s="5" t="s">
        <v>50</v>
      </c>
      <c r="H173" s="5" t="s">
        <v>9</v>
      </c>
      <c r="I173" s="63" t="s">
        <v>9</v>
      </c>
      <c r="J173" s="63" t="s">
        <v>1087</v>
      </c>
      <c r="K173" s="63" t="s">
        <v>1088</v>
      </c>
      <c r="L173" s="63" t="s">
        <v>323</v>
      </c>
      <c r="M173" s="63" t="s">
        <v>1089</v>
      </c>
      <c r="N173" s="63" t="s">
        <v>112</v>
      </c>
      <c r="O173" s="64" t="s">
        <v>1045</v>
      </c>
      <c r="P173" s="64" t="s">
        <v>112</v>
      </c>
      <c r="Q173" s="63" t="s">
        <v>1090</v>
      </c>
      <c r="R173" s="64" t="s">
        <v>1091</v>
      </c>
      <c r="S173" s="65" t="s">
        <v>1092</v>
      </c>
      <c r="T173" s="64">
        <v>1.2</v>
      </c>
      <c r="U173" s="64" t="s">
        <v>116</v>
      </c>
      <c r="V173" s="64">
        <v>1.2</v>
      </c>
      <c r="W173" s="64"/>
      <c r="X173" s="66"/>
      <c r="Y173" s="64">
        <v>1000000</v>
      </c>
      <c r="Z173" s="8" t="s">
        <v>117</v>
      </c>
      <c r="AA173" s="5" t="s">
        <v>42</v>
      </c>
      <c r="AB173" s="5" t="s">
        <v>222</v>
      </c>
      <c r="AC173" s="67"/>
      <c r="AD173" s="63"/>
      <c r="AE173" s="64" t="s">
        <v>9</v>
      </c>
      <c r="AF173" s="68"/>
      <c r="AG173" s="63"/>
      <c r="AH173" s="64"/>
      <c r="AI173" s="8" t="s">
        <v>1</v>
      </c>
      <c r="AJ173" s="9"/>
      <c r="AK173" s="68">
        <v>46078</v>
      </c>
      <c r="AL173" s="65" t="s">
        <v>1049</v>
      </c>
      <c r="AM173" s="65" t="s">
        <v>17</v>
      </c>
      <c r="AN173" s="68">
        <v>46084</v>
      </c>
      <c r="AO173" s="69"/>
    </row>
    <row r="174" spans="1:41" x14ac:dyDescent="0.45">
      <c r="A174" s="60" t="s">
        <v>1093</v>
      </c>
      <c r="B174" s="61">
        <v>46023</v>
      </c>
      <c r="C174" s="62">
        <v>2026</v>
      </c>
      <c r="D174" s="63" t="s">
        <v>105</v>
      </c>
      <c r="E174" s="63" t="s">
        <v>24</v>
      </c>
      <c r="F174" s="63" t="s">
        <v>123</v>
      </c>
      <c r="G174" s="5" t="s">
        <v>50</v>
      </c>
      <c r="H174" s="5" t="s">
        <v>9</v>
      </c>
      <c r="I174" s="63" t="s">
        <v>9</v>
      </c>
      <c r="J174" s="63" t="s">
        <v>1094</v>
      </c>
      <c r="K174" s="63" t="s">
        <v>1095</v>
      </c>
      <c r="L174" s="63" t="s">
        <v>149</v>
      </c>
      <c r="M174" s="63" t="s">
        <v>1096</v>
      </c>
      <c r="N174" s="63" t="s">
        <v>112</v>
      </c>
      <c r="O174" s="64" t="s">
        <v>1045</v>
      </c>
      <c r="P174" s="64" t="s">
        <v>112</v>
      </c>
      <c r="Q174" s="63" t="s">
        <v>1097</v>
      </c>
      <c r="R174" s="64" t="s">
        <v>1098</v>
      </c>
      <c r="S174" s="65" t="s">
        <v>1099</v>
      </c>
      <c r="T174" s="64">
        <v>1.1000000000000001</v>
      </c>
      <c r="U174" s="64" t="s">
        <v>116</v>
      </c>
      <c r="V174" s="64">
        <v>1.1000000000000001</v>
      </c>
      <c r="W174" s="64"/>
      <c r="X174" s="66"/>
      <c r="Y174" s="64">
        <v>1000000</v>
      </c>
      <c r="Z174" s="8" t="s">
        <v>117</v>
      </c>
      <c r="AA174" s="5" t="s">
        <v>42</v>
      </c>
      <c r="AB174" s="5" t="s">
        <v>222</v>
      </c>
      <c r="AC174" s="67"/>
      <c r="AD174" s="63"/>
      <c r="AE174" s="64" t="s">
        <v>9</v>
      </c>
      <c r="AF174" s="68"/>
      <c r="AG174" s="63"/>
      <c r="AH174" s="64"/>
      <c r="AI174" s="8" t="s">
        <v>1</v>
      </c>
      <c r="AJ174" s="9"/>
      <c r="AK174" s="68">
        <v>46078</v>
      </c>
      <c r="AL174" s="65" t="s">
        <v>1049</v>
      </c>
      <c r="AM174" s="65" t="s">
        <v>17</v>
      </c>
      <c r="AN174" s="68">
        <v>46084</v>
      </c>
      <c r="AO174" s="69"/>
    </row>
    <row r="175" spans="1:41" x14ac:dyDescent="0.45">
      <c r="A175" s="35" t="s">
        <v>1100</v>
      </c>
      <c r="B175" s="61">
        <v>46023</v>
      </c>
      <c r="C175" s="62">
        <v>2026</v>
      </c>
      <c r="D175" s="63" t="s">
        <v>105</v>
      </c>
      <c r="E175" s="63" t="s">
        <v>24</v>
      </c>
      <c r="F175" s="63" t="s">
        <v>123</v>
      </c>
      <c r="G175" s="5" t="s">
        <v>50</v>
      </c>
      <c r="H175" s="5" t="s">
        <v>9</v>
      </c>
      <c r="I175" s="63" t="s">
        <v>9</v>
      </c>
      <c r="J175" s="63" t="s">
        <v>1025</v>
      </c>
      <c r="K175" s="63" t="s">
        <v>1026</v>
      </c>
      <c r="L175" s="63" t="s">
        <v>139</v>
      </c>
      <c r="M175" s="63" t="s">
        <v>1027</v>
      </c>
      <c r="N175" s="63" t="s">
        <v>1028</v>
      </c>
      <c r="O175" s="64" t="s">
        <v>1045</v>
      </c>
      <c r="P175" s="64" t="s">
        <v>112</v>
      </c>
      <c r="Q175" s="63" t="s">
        <v>1101</v>
      </c>
      <c r="R175" s="64" t="s">
        <v>1102</v>
      </c>
      <c r="S175" s="65" t="s">
        <v>1103</v>
      </c>
      <c r="T175" s="64">
        <v>0.6</v>
      </c>
      <c r="U175" s="64" t="s">
        <v>116</v>
      </c>
      <c r="V175" s="64">
        <v>0.6</v>
      </c>
      <c r="W175" s="64"/>
      <c r="X175" s="66"/>
      <c r="Y175" s="64">
        <v>10000000</v>
      </c>
      <c r="Z175" s="8" t="s">
        <v>117</v>
      </c>
      <c r="AA175" s="5" t="s">
        <v>42</v>
      </c>
      <c r="AB175" s="5" t="s">
        <v>222</v>
      </c>
      <c r="AC175" s="67"/>
      <c r="AD175" s="63"/>
      <c r="AE175" s="64" t="s">
        <v>9</v>
      </c>
      <c r="AF175" s="68"/>
      <c r="AG175" s="63"/>
      <c r="AH175" s="64"/>
      <c r="AI175" s="8" t="s">
        <v>1</v>
      </c>
      <c r="AJ175" s="9"/>
      <c r="AK175" s="68">
        <v>46078</v>
      </c>
      <c r="AL175" s="65" t="s">
        <v>1049</v>
      </c>
      <c r="AM175" s="65" t="s">
        <v>17</v>
      </c>
      <c r="AN175" s="68">
        <v>46084</v>
      </c>
      <c r="AO175" s="69"/>
    </row>
    <row r="176" spans="1:41" x14ac:dyDescent="0.45">
      <c r="A176" s="60" t="s">
        <v>1104</v>
      </c>
      <c r="B176" s="61">
        <v>46023</v>
      </c>
      <c r="C176" s="62">
        <v>2026</v>
      </c>
      <c r="D176" s="63" t="s">
        <v>105</v>
      </c>
      <c r="E176" s="63" t="s">
        <v>24</v>
      </c>
      <c r="F176" s="63" t="s">
        <v>123</v>
      </c>
      <c r="G176" s="5" t="s">
        <v>50</v>
      </c>
      <c r="H176" s="5" t="s">
        <v>9</v>
      </c>
      <c r="I176" s="63" t="s">
        <v>9</v>
      </c>
      <c r="J176" s="63" t="s">
        <v>1087</v>
      </c>
      <c r="K176" s="63" t="s">
        <v>1088</v>
      </c>
      <c r="L176" s="63" t="s">
        <v>323</v>
      </c>
      <c r="M176" s="63" t="s">
        <v>1089</v>
      </c>
      <c r="N176" s="63" t="s">
        <v>112</v>
      </c>
      <c r="O176" s="64" t="s">
        <v>1045</v>
      </c>
      <c r="P176" s="64" t="s">
        <v>112</v>
      </c>
      <c r="Q176" s="63" t="s">
        <v>1105</v>
      </c>
      <c r="R176" s="64" t="s">
        <v>1106</v>
      </c>
      <c r="S176" s="65" t="s">
        <v>1107</v>
      </c>
      <c r="T176" s="64">
        <v>1.1000000000000001</v>
      </c>
      <c r="U176" s="64" t="s">
        <v>116</v>
      </c>
      <c r="V176" s="64">
        <v>1.1000000000000001</v>
      </c>
      <c r="W176" s="64"/>
      <c r="X176" s="66"/>
      <c r="Y176" s="64">
        <v>1000000</v>
      </c>
      <c r="Z176" s="8" t="s">
        <v>117</v>
      </c>
      <c r="AA176" s="5" t="s">
        <v>42</v>
      </c>
      <c r="AB176" s="5" t="s">
        <v>222</v>
      </c>
      <c r="AC176" s="67"/>
      <c r="AD176" s="63"/>
      <c r="AE176" s="64" t="s">
        <v>9</v>
      </c>
      <c r="AF176" s="68"/>
      <c r="AG176" s="63"/>
      <c r="AH176" s="64"/>
      <c r="AI176" s="8" t="s">
        <v>1</v>
      </c>
      <c r="AJ176" s="9"/>
      <c r="AK176" s="68">
        <v>46078</v>
      </c>
      <c r="AL176" s="65" t="s">
        <v>1049</v>
      </c>
      <c r="AM176" s="65" t="s">
        <v>17</v>
      </c>
      <c r="AN176" s="68">
        <v>46084</v>
      </c>
      <c r="AO176" s="69"/>
    </row>
    <row r="177" spans="1:41" x14ac:dyDescent="0.45">
      <c r="A177" s="35" t="s">
        <v>1108</v>
      </c>
      <c r="B177" s="61">
        <v>46023</v>
      </c>
      <c r="C177" s="62">
        <v>2026</v>
      </c>
      <c r="D177" s="63" t="s">
        <v>105</v>
      </c>
      <c r="E177" s="63" t="s">
        <v>24</v>
      </c>
      <c r="F177" s="63" t="s">
        <v>123</v>
      </c>
      <c r="G177" s="5" t="s">
        <v>50</v>
      </c>
      <c r="H177" s="5" t="s">
        <v>9</v>
      </c>
      <c r="I177" s="63" t="s">
        <v>9</v>
      </c>
      <c r="J177" s="63" t="s">
        <v>1109</v>
      </c>
      <c r="K177" s="63" t="s">
        <v>1110</v>
      </c>
      <c r="L177" s="63" t="s">
        <v>149</v>
      </c>
      <c r="M177" s="63" t="s">
        <v>1111</v>
      </c>
      <c r="N177" s="63" t="s">
        <v>112</v>
      </c>
      <c r="O177" s="64" t="s">
        <v>1045</v>
      </c>
      <c r="P177" s="64" t="s">
        <v>112</v>
      </c>
      <c r="Q177" s="63" t="s">
        <v>1112</v>
      </c>
      <c r="R177" s="64" t="s">
        <v>1113</v>
      </c>
      <c r="S177" s="65" t="s">
        <v>1114</v>
      </c>
      <c r="T177" s="64">
        <v>0.6</v>
      </c>
      <c r="U177" s="64" t="s">
        <v>116</v>
      </c>
      <c r="V177" s="64">
        <v>0.6</v>
      </c>
      <c r="W177" s="64"/>
      <c r="X177" s="66"/>
      <c r="Y177" s="64">
        <v>1000000</v>
      </c>
      <c r="Z177" s="8" t="s">
        <v>117</v>
      </c>
      <c r="AA177" s="5" t="s">
        <v>42</v>
      </c>
      <c r="AB177" s="5" t="s">
        <v>222</v>
      </c>
      <c r="AC177" s="67"/>
      <c r="AD177" s="63"/>
      <c r="AE177" s="64" t="s">
        <v>9</v>
      </c>
      <c r="AF177" s="68"/>
      <c r="AG177" s="63"/>
      <c r="AH177" s="64"/>
      <c r="AI177" s="8" t="s">
        <v>1</v>
      </c>
      <c r="AJ177" s="9"/>
      <c r="AK177" s="68">
        <v>46078</v>
      </c>
      <c r="AL177" s="65" t="s">
        <v>1049</v>
      </c>
      <c r="AM177" s="65" t="s">
        <v>17</v>
      </c>
      <c r="AN177" s="68">
        <v>46084</v>
      </c>
      <c r="AO177" s="69"/>
    </row>
    <row r="178" spans="1:41" x14ac:dyDescent="0.45">
      <c r="A178" s="60" t="s">
        <v>1115</v>
      </c>
      <c r="B178" s="61">
        <v>46023</v>
      </c>
      <c r="C178" s="62">
        <v>2026</v>
      </c>
      <c r="D178" s="63" t="s">
        <v>105</v>
      </c>
      <c r="E178" s="63" t="s">
        <v>24</v>
      </c>
      <c r="F178" s="63" t="s">
        <v>123</v>
      </c>
      <c r="G178" s="5" t="s">
        <v>50</v>
      </c>
      <c r="H178" s="5" t="s">
        <v>9</v>
      </c>
      <c r="I178" s="63" t="s">
        <v>9</v>
      </c>
      <c r="J178" s="63" t="s">
        <v>1094</v>
      </c>
      <c r="K178" s="63" t="s">
        <v>1095</v>
      </c>
      <c r="L178" s="63" t="s">
        <v>149</v>
      </c>
      <c r="M178" s="63" t="s">
        <v>1096</v>
      </c>
      <c r="N178" s="63" t="s">
        <v>112</v>
      </c>
      <c r="O178" s="64" t="s">
        <v>1045</v>
      </c>
      <c r="P178" s="64" t="s">
        <v>112</v>
      </c>
      <c r="Q178" s="63" t="s">
        <v>1116</v>
      </c>
      <c r="R178" s="64" t="s">
        <v>1117</v>
      </c>
      <c r="S178" s="65" t="s">
        <v>1118</v>
      </c>
      <c r="T178" s="64">
        <v>1.2</v>
      </c>
      <c r="U178" s="64" t="s">
        <v>116</v>
      </c>
      <c r="V178" s="64">
        <v>1.2</v>
      </c>
      <c r="W178" s="64"/>
      <c r="X178" s="66"/>
      <c r="Y178" s="64">
        <v>1000000</v>
      </c>
      <c r="Z178" s="8" t="s">
        <v>117</v>
      </c>
      <c r="AA178" s="5" t="s">
        <v>42</v>
      </c>
      <c r="AB178" s="5" t="s">
        <v>222</v>
      </c>
      <c r="AC178" s="67"/>
      <c r="AD178" s="63"/>
      <c r="AE178" s="64" t="s">
        <v>9</v>
      </c>
      <c r="AF178" s="68"/>
      <c r="AG178" s="63"/>
      <c r="AH178" s="64"/>
      <c r="AI178" s="8" t="s">
        <v>1</v>
      </c>
      <c r="AJ178" s="9"/>
      <c r="AK178" s="68">
        <v>46078</v>
      </c>
      <c r="AL178" s="65" t="s">
        <v>1049</v>
      </c>
      <c r="AM178" s="65" t="s">
        <v>17</v>
      </c>
      <c r="AN178" s="68">
        <v>46084</v>
      </c>
      <c r="AO178" s="69"/>
    </row>
    <row r="179" spans="1:41" x14ac:dyDescent="0.45">
      <c r="A179" s="35" t="s">
        <v>1119</v>
      </c>
      <c r="B179" s="61">
        <v>46023</v>
      </c>
      <c r="C179" s="62">
        <v>2026</v>
      </c>
      <c r="D179" s="63" t="s">
        <v>105</v>
      </c>
      <c r="E179" s="63" t="s">
        <v>24</v>
      </c>
      <c r="F179" s="63" t="s">
        <v>123</v>
      </c>
      <c r="G179" s="5" t="s">
        <v>50</v>
      </c>
      <c r="H179" s="5" t="s">
        <v>9</v>
      </c>
      <c r="I179" s="63" t="s">
        <v>9</v>
      </c>
      <c r="J179" s="63" t="s">
        <v>1025</v>
      </c>
      <c r="K179" s="63" t="s">
        <v>1026</v>
      </c>
      <c r="L179" s="63" t="s">
        <v>139</v>
      </c>
      <c r="M179" s="63" t="s">
        <v>1027</v>
      </c>
      <c r="N179" s="63" t="s">
        <v>1028</v>
      </c>
      <c r="O179" s="64" t="s">
        <v>1045</v>
      </c>
      <c r="P179" s="64" t="s">
        <v>112</v>
      </c>
      <c r="Q179" s="63" t="s">
        <v>1120</v>
      </c>
      <c r="R179" s="64" t="s">
        <v>1121</v>
      </c>
      <c r="S179" s="65" t="s">
        <v>1122</v>
      </c>
      <c r="T179" s="64">
        <v>0.55000000000000004</v>
      </c>
      <c r="U179" s="64" t="s">
        <v>116</v>
      </c>
      <c r="V179" s="64">
        <v>0.55000000000000004</v>
      </c>
      <c r="W179" s="64"/>
      <c r="X179" s="66"/>
      <c r="Y179" s="64">
        <v>10000000</v>
      </c>
      <c r="Z179" s="8" t="s">
        <v>117</v>
      </c>
      <c r="AA179" s="5" t="s">
        <v>42</v>
      </c>
      <c r="AB179" s="5" t="s">
        <v>222</v>
      </c>
      <c r="AC179" s="67"/>
      <c r="AD179" s="63"/>
      <c r="AE179" s="64" t="s">
        <v>9</v>
      </c>
      <c r="AF179" s="68"/>
      <c r="AG179" s="63"/>
      <c r="AH179" s="64"/>
      <c r="AI179" s="8" t="s">
        <v>1</v>
      </c>
      <c r="AJ179" s="9"/>
      <c r="AK179" s="68">
        <v>46078</v>
      </c>
      <c r="AL179" s="65" t="s">
        <v>1049</v>
      </c>
      <c r="AM179" s="65" t="s">
        <v>17</v>
      </c>
      <c r="AN179" s="68">
        <v>46084</v>
      </c>
      <c r="AO179" s="69"/>
    </row>
    <row r="180" spans="1:41" x14ac:dyDescent="0.45">
      <c r="A180" s="60" t="s">
        <v>1123</v>
      </c>
      <c r="B180" s="61">
        <v>46023</v>
      </c>
      <c r="C180" s="62">
        <v>2026</v>
      </c>
      <c r="D180" s="63" t="s">
        <v>105</v>
      </c>
      <c r="E180" s="63" t="s">
        <v>24</v>
      </c>
      <c r="F180" s="63" t="s">
        <v>123</v>
      </c>
      <c r="G180" s="5" t="s">
        <v>50</v>
      </c>
      <c r="H180" s="5" t="s">
        <v>9</v>
      </c>
      <c r="I180" s="63" t="s">
        <v>9</v>
      </c>
      <c r="J180" s="63" t="s">
        <v>1124</v>
      </c>
      <c r="K180" s="63" t="s">
        <v>1125</v>
      </c>
      <c r="L180" s="63" t="s">
        <v>1053</v>
      </c>
      <c r="M180" s="63" t="s">
        <v>1126</v>
      </c>
      <c r="N180" s="63" t="s">
        <v>112</v>
      </c>
      <c r="O180" s="64" t="s">
        <v>1045</v>
      </c>
      <c r="P180" s="64" t="s">
        <v>112</v>
      </c>
      <c r="Q180" s="63" t="s">
        <v>1127</v>
      </c>
      <c r="R180" s="64" t="s">
        <v>1128</v>
      </c>
      <c r="S180" s="65" t="s">
        <v>1129</v>
      </c>
      <c r="T180" s="64">
        <v>0.84</v>
      </c>
      <c r="U180" s="64" t="s">
        <v>116</v>
      </c>
      <c r="V180" s="64">
        <v>0.84</v>
      </c>
      <c r="W180" s="64"/>
      <c r="X180" s="66"/>
      <c r="Y180" s="64">
        <v>1000000</v>
      </c>
      <c r="Z180" s="8" t="s">
        <v>117</v>
      </c>
      <c r="AA180" s="5" t="s">
        <v>42</v>
      </c>
      <c r="AB180" s="5" t="s">
        <v>222</v>
      </c>
      <c r="AC180" s="67"/>
      <c r="AD180" s="63"/>
      <c r="AE180" s="64" t="s">
        <v>9</v>
      </c>
      <c r="AF180" s="68"/>
      <c r="AG180" s="63"/>
      <c r="AH180" s="64"/>
      <c r="AI180" s="8" t="s">
        <v>1</v>
      </c>
      <c r="AJ180" s="9"/>
      <c r="AK180" s="68">
        <v>46078</v>
      </c>
      <c r="AL180" s="65" t="s">
        <v>1049</v>
      </c>
      <c r="AM180" s="65" t="s">
        <v>17</v>
      </c>
      <c r="AN180" s="68">
        <v>46084</v>
      </c>
      <c r="AO180" s="69"/>
    </row>
    <row r="181" spans="1:41" x14ac:dyDescent="0.45">
      <c r="A181" s="35" t="s">
        <v>1130</v>
      </c>
      <c r="B181" s="61">
        <v>46023</v>
      </c>
      <c r="C181" s="62">
        <v>2026</v>
      </c>
      <c r="D181" s="63" t="s">
        <v>105</v>
      </c>
      <c r="E181" s="63" t="s">
        <v>24</v>
      </c>
      <c r="F181" s="63" t="s">
        <v>123</v>
      </c>
      <c r="G181" s="5" t="s">
        <v>50</v>
      </c>
      <c r="H181" s="5" t="s">
        <v>9</v>
      </c>
      <c r="I181" s="63" t="s">
        <v>9</v>
      </c>
      <c r="J181" s="63" t="s">
        <v>1025</v>
      </c>
      <c r="K181" s="63" t="s">
        <v>1026</v>
      </c>
      <c r="L181" s="63" t="s">
        <v>139</v>
      </c>
      <c r="M181" s="63" t="s">
        <v>1027</v>
      </c>
      <c r="N181" s="63" t="s">
        <v>1028</v>
      </c>
      <c r="O181" s="64" t="s">
        <v>1045</v>
      </c>
      <c r="P181" s="64" t="s">
        <v>112</v>
      </c>
      <c r="Q181" s="63" t="s">
        <v>1131</v>
      </c>
      <c r="R181" s="64" t="s">
        <v>1132</v>
      </c>
      <c r="S181" s="65" t="s">
        <v>1133</v>
      </c>
      <c r="T181" s="64">
        <v>0.6</v>
      </c>
      <c r="U181" s="64" t="s">
        <v>116</v>
      </c>
      <c r="V181" s="64">
        <v>0.6</v>
      </c>
      <c r="W181" s="64"/>
      <c r="X181" s="66"/>
      <c r="Y181" s="64">
        <v>10000000</v>
      </c>
      <c r="Z181" s="8" t="s">
        <v>117</v>
      </c>
      <c r="AA181" s="5" t="s">
        <v>42</v>
      </c>
      <c r="AB181" s="5" t="s">
        <v>222</v>
      </c>
      <c r="AC181" s="67"/>
      <c r="AD181" s="63"/>
      <c r="AE181" s="64" t="s">
        <v>9</v>
      </c>
      <c r="AF181" s="68"/>
      <c r="AG181" s="63"/>
      <c r="AH181" s="64"/>
      <c r="AI181" s="8" t="s">
        <v>1</v>
      </c>
      <c r="AJ181" s="9"/>
      <c r="AK181" s="68">
        <v>46078</v>
      </c>
      <c r="AL181" s="65" t="s">
        <v>1049</v>
      </c>
      <c r="AM181" s="65" t="s">
        <v>17</v>
      </c>
      <c r="AN181" s="68">
        <v>46084</v>
      </c>
      <c r="AO181" s="69"/>
    </row>
    <row r="182" spans="1:41" x14ac:dyDescent="0.45">
      <c r="A182" s="60" t="s">
        <v>1134</v>
      </c>
      <c r="B182" s="61">
        <v>46023</v>
      </c>
      <c r="C182" s="62">
        <v>2026</v>
      </c>
      <c r="D182" s="63" t="s">
        <v>105</v>
      </c>
      <c r="E182" s="63" t="s">
        <v>24</v>
      </c>
      <c r="F182" s="63" t="s">
        <v>123</v>
      </c>
      <c r="G182" s="5" t="s">
        <v>50</v>
      </c>
      <c r="H182" s="5" t="s">
        <v>9</v>
      </c>
      <c r="I182" s="63" t="s">
        <v>9</v>
      </c>
      <c r="J182" s="63" t="s">
        <v>1109</v>
      </c>
      <c r="K182" s="63" t="s">
        <v>1110</v>
      </c>
      <c r="L182" s="63" t="s">
        <v>149</v>
      </c>
      <c r="M182" s="63" t="s">
        <v>1111</v>
      </c>
      <c r="N182" s="63" t="s">
        <v>112</v>
      </c>
      <c r="O182" s="64" t="s">
        <v>1045</v>
      </c>
      <c r="P182" s="64" t="s">
        <v>112</v>
      </c>
      <c r="Q182" s="63" t="s">
        <v>1135</v>
      </c>
      <c r="R182" s="64" t="s">
        <v>1136</v>
      </c>
      <c r="S182" s="65" t="s">
        <v>1137</v>
      </c>
      <c r="T182" s="64">
        <v>0.55000000000000004</v>
      </c>
      <c r="U182" s="64" t="s">
        <v>116</v>
      </c>
      <c r="V182" s="64">
        <v>0.55000000000000004</v>
      </c>
      <c r="W182" s="64"/>
      <c r="X182" s="66"/>
      <c r="Y182" s="64">
        <v>1000000</v>
      </c>
      <c r="Z182" s="8" t="s">
        <v>117</v>
      </c>
      <c r="AA182" s="5" t="s">
        <v>42</v>
      </c>
      <c r="AB182" s="5" t="s">
        <v>222</v>
      </c>
      <c r="AC182" s="67"/>
      <c r="AD182" s="63"/>
      <c r="AE182" s="64" t="s">
        <v>9</v>
      </c>
      <c r="AF182" s="68"/>
      <c r="AG182" s="63"/>
      <c r="AH182" s="64"/>
      <c r="AI182" s="8" t="s">
        <v>1</v>
      </c>
      <c r="AJ182" s="9"/>
      <c r="AK182" s="68">
        <v>46078</v>
      </c>
      <c r="AL182" s="65" t="s">
        <v>1049</v>
      </c>
      <c r="AM182" s="65" t="s">
        <v>17</v>
      </c>
      <c r="AN182" s="68">
        <v>46084</v>
      </c>
      <c r="AO182" s="69"/>
    </row>
    <row r="183" spans="1:41" x14ac:dyDescent="0.45">
      <c r="A183" s="35" t="s">
        <v>1138</v>
      </c>
      <c r="B183" s="61">
        <v>46023</v>
      </c>
      <c r="C183" s="62">
        <v>2026</v>
      </c>
      <c r="D183" s="63" t="s">
        <v>105</v>
      </c>
      <c r="E183" s="63" t="s">
        <v>24</v>
      </c>
      <c r="F183" s="63" t="s">
        <v>123</v>
      </c>
      <c r="G183" s="5" t="s">
        <v>50</v>
      </c>
      <c r="H183" s="5" t="s">
        <v>9</v>
      </c>
      <c r="I183" s="63" t="s">
        <v>9</v>
      </c>
      <c r="J183" s="63" t="s">
        <v>1139</v>
      </c>
      <c r="K183" s="63" t="s">
        <v>1140</v>
      </c>
      <c r="L183" s="63" t="s">
        <v>388</v>
      </c>
      <c r="M183" s="63" t="s">
        <v>1141</v>
      </c>
      <c r="N183" s="63" t="s">
        <v>112</v>
      </c>
      <c r="O183" s="64" t="s">
        <v>1045</v>
      </c>
      <c r="P183" s="64" t="s">
        <v>112</v>
      </c>
      <c r="Q183" s="63" t="s">
        <v>1142</v>
      </c>
      <c r="R183" s="64" t="s">
        <v>1143</v>
      </c>
      <c r="S183" s="65" t="s">
        <v>1144</v>
      </c>
      <c r="T183" s="64">
        <v>0.46</v>
      </c>
      <c r="U183" s="64" t="s">
        <v>116</v>
      </c>
      <c r="V183" s="64">
        <v>0.46</v>
      </c>
      <c r="W183" s="64"/>
      <c r="X183" s="66"/>
      <c r="Y183" s="64">
        <v>1000000</v>
      </c>
      <c r="Z183" s="8" t="s">
        <v>117</v>
      </c>
      <c r="AA183" s="5" t="s">
        <v>42</v>
      </c>
      <c r="AB183" s="5" t="s">
        <v>222</v>
      </c>
      <c r="AC183" s="67"/>
      <c r="AD183" s="63"/>
      <c r="AE183" s="64" t="s">
        <v>9</v>
      </c>
      <c r="AF183" s="68"/>
      <c r="AG183" s="63"/>
      <c r="AH183" s="64"/>
      <c r="AI183" s="8" t="s">
        <v>1</v>
      </c>
      <c r="AJ183" s="9"/>
      <c r="AK183" s="68">
        <v>46078</v>
      </c>
      <c r="AL183" s="65" t="s">
        <v>1049</v>
      </c>
      <c r="AM183" s="65" t="s">
        <v>17</v>
      </c>
      <c r="AN183" s="68">
        <v>46084</v>
      </c>
      <c r="AO183" s="69"/>
    </row>
    <row r="184" spans="1:41" x14ac:dyDescent="0.45">
      <c r="A184" s="60" t="s">
        <v>1145</v>
      </c>
      <c r="B184" s="61">
        <v>46023</v>
      </c>
      <c r="C184" s="62">
        <v>2026</v>
      </c>
      <c r="D184" s="63" t="s">
        <v>105</v>
      </c>
      <c r="E184" s="63" t="s">
        <v>24</v>
      </c>
      <c r="F184" s="63" t="s">
        <v>123</v>
      </c>
      <c r="G184" s="5" t="s">
        <v>50</v>
      </c>
      <c r="H184" s="5" t="s">
        <v>9</v>
      </c>
      <c r="I184" s="63" t="s">
        <v>9</v>
      </c>
      <c r="J184" s="63" t="s">
        <v>1124</v>
      </c>
      <c r="K184" s="63" t="s">
        <v>1125</v>
      </c>
      <c r="L184" s="63" t="s">
        <v>1053</v>
      </c>
      <c r="M184" s="63" t="s">
        <v>1126</v>
      </c>
      <c r="N184" s="63" t="s">
        <v>112</v>
      </c>
      <c r="O184" s="64" t="s">
        <v>1045</v>
      </c>
      <c r="P184" s="64" t="s">
        <v>112</v>
      </c>
      <c r="Q184" s="63" t="s">
        <v>1146</v>
      </c>
      <c r="R184" s="64" t="s">
        <v>1147</v>
      </c>
      <c r="S184" s="65" t="s">
        <v>1148</v>
      </c>
      <c r="T184" s="64">
        <v>0.77</v>
      </c>
      <c r="U184" s="64" t="s">
        <v>116</v>
      </c>
      <c r="V184" s="64">
        <v>0.77</v>
      </c>
      <c r="W184" s="64"/>
      <c r="X184" s="66"/>
      <c r="Y184" s="64">
        <v>1000000</v>
      </c>
      <c r="Z184" s="8" t="s">
        <v>117</v>
      </c>
      <c r="AA184" s="5" t="s">
        <v>42</v>
      </c>
      <c r="AB184" s="5" t="s">
        <v>222</v>
      </c>
      <c r="AC184" s="67"/>
      <c r="AD184" s="63"/>
      <c r="AE184" s="64" t="s">
        <v>9</v>
      </c>
      <c r="AF184" s="68"/>
      <c r="AG184" s="63"/>
      <c r="AH184" s="64"/>
      <c r="AI184" s="8" t="s">
        <v>1</v>
      </c>
      <c r="AJ184" s="9"/>
      <c r="AK184" s="68">
        <v>46078</v>
      </c>
      <c r="AL184" s="65" t="s">
        <v>1049</v>
      </c>
      <c r="AM184" s="65" t="s">
        <v>17</v>
      </c>
      <c r="AN184" s="68">
        <v>46084</v>
      </c>
      <c r="AO184" s="69"/>
    </row>
    <row r="185" spans="1:41" x14ac:dyDescent="0.45">
      <c r="A185" s="35" t="s">
        <v>1149</v>
      </c>
      <c r="B185" s="61">
        <v>46023</v>
      </c>
      <c r="C185" s="62">
        <v>2026</v>
      </c>
      <c r="D185" s="63" t="s">
        <v>105</v>
      </c>
      <c r="E185" s="63" t="s">
        <v>24</v>
      </c>
      <c r="F185" s="63" t="s">
        <v>123</v>
      </c>
      <c r="G185" s="5" t="s">
        <v>50</v>
      </c>
      <c r="H185" s="5" t="s">
        <v>9</v>
      </c>
      <c r="I185" s="63" t="s">
        <v>9</v>
      </c>
      <c r="J185" s="63" t="s">
        <v>1109</v>
      </c>
      <c r="K185" s="63" t="s">
        <v>1110</v>
      </c>
      <c r="L185" s="63" t="s">
        <v>149</v>
      </c>
      <c r="M185" s="63" t="s">
        <v>1111</v>
      </c>
      <c r="N185" s="63" t="s">
        <v>112</v>
      </c>
      <c r="O185" s="64" t="s">
        <v>1045</v>
      </c>
      <c r="P185" s="64" t="s">
        <v>112</v>
      </c>
      <c r="Q185" s="63" t="s">
        <v>1150</v>
      </c>
      <c r="R185" s="64" t="s">
        <v>1151</v>
      </c>
      <c r="S185" s="65" t="s">
        <v>1152</v>
      </c>
      <c r="T185" s="64">
        <v>0.6</v>
      </c>
      <c r="U185" s="64" t="s">
        <v>116</v>
      </c>
      <c r="V185" s="64">
        <v>0.6</v>
      </c>
      <c r="W185" s="64"/>
      <c r="X185" s="66"/>
      <c r="Y185" s="64">
        <v>1000000</v>
      </c>
      <c r="Z185" s="8" t="s">
        <v>117</v>
      </c>
      <c r="AA185" s="5" t="s">
        <v>42</v>
      </c>
      <c r="AB185" s="5" t="s">
        <v>222</v>
      </c>
      <c r="AC185" s="67"/>
      <c r="AD185" s="63"/>
      <c r="AE185" s="64" t="s">
        <v>9</v>
      </c>
      <c r="AF185" s="68"/>
      <c r="AG185" s="63"/>
      <c r="AH185" s="64"/>
      <c r="AI185" s="8" t="s">
        <v>1</v>
      </c>
      <c r="AJ185" s="9"/>
      <c r="AK185" s="68">
        <v>46078</v>
      </c>
      <c r="AL185" s="65" t="s">
        <v>1049</v>
      </c>
      <c r="AM185" s="65" t="s">
        <v>17</v>
      </c>
      <c r="AN185" s="68">
        <v>46084</v>
      </c>
      <c r="AO185" s="69"/>
    </row>
    <row r="186" spans="1:41" x14ac:dyDescent="0.45">
      <c r="A186" s="60" t="s">
        <v>1153</v>
      </c>
      <c r="B186" s="61">
        <v>46023</v>
      </c>
      <c r="C186" s="62">
        <v>2026</v>
      </c>
      <c r="D186" s="63" t="s">
        <v>105</v>
      </c>
      <c r="E186" s="63" t="s">
        <v>24</v>
      </c>
      <c r="F186" s="63" t="s">
        <v>123</v>
      </c>
      <c r="G186" s="5" t="s">
        <v>50</v>
      </c>
      <c r="H186" s="5" t="s">
        <v>9</v>
      </c>
      <c r="I186" s="63" t="s">
        <v>9</v>
      </c>
      <c r="J186" s="63" t="s">
        <v>1109</v>
      </c>
      <c r="K186" s="63" t="s">
        <v>1110</v>
      </c>
      <c r="L186" s="63" t="s">
        <v>149</v>
      </c>
      <c r="M186" s="63" t="s">
        <v>1111</v>
      </c>
      <c r="N186" s="63" t="s">
        <v>112</v>
      </c>
      <c r="O186" s="64" t="s">
        <v>1045</v>
      </c>
      <c r="P186" s="64" t="s">
        <v>112</v>
      </c>
      <c r="Q186" s="63" t="s">
        <v>1154</v>
      </c>
      <c r="R186" s="64" t="s">
        <v>1155</v>
      </c>
      <c r="S186" s="65" t="s">
        <v>1156</v>
      </c>
      <c r="T186" s="64">
        <v>0.55000000000000004</v>
      </c>
      <c r="U186" s="64" t="s">
        <v>116</v>
      </c>
      <c r="V186" s="64">
        <v>0.55000000000000004</v>
      </c>
      <c r="W186" s="64"/>
      <c r="X186" s="66"/>
      <c r="Y186" s="64">
        <v>1000000</v>
      </c>
      <c r="Z186" s="8" t="s">
        <v>117</v>
      </c>
      <c r="AA186" s="5" t="s">
        <v>42</v>
      </c>
      <c r="AB186" s="5" t="s">
        <v>222</v>
      </c>
      <c r="AC186" s="67"/>
      <c r="AD186" s="63"/>
      <c r="AE186" s="64" t="s">
        <v>9</v>
      </c>
      <c r="AF186" s="68"/>
      <c r="AG186" s="63"/>
      <c r="AH186" s="64"/>
      <c r="AI186" s="8" t="s">
        <v>1</v>
      </c>
      <c r="AJ186" s="9"/>
      <c r="AK186" s="68">
        <v>46078</v>
      </c>
      <c r="AL186" s="65" t="s">
        <v>1049</v>
      </c>
      <c r="AM186" s="65" t="s">
        <v>17</v>
      </c>
      <c r="AN186" s="68">
        <v>46084</v>
      </c>
      <c r="AO186" s="69"/>
    </row>
    <row r="187" spans="1:41" x14ac:dyDescent="0.45">
      <c r="A187" s="35" t="s">
        <v>1157</v>
      </c>
      <c r="B187" s="61">
        <v>46023</v>
      </c>
      <c r="C187" s="62">
        <v>2026</v>
      </c>
      <c r="D187" s="63" t="s">
        <v>105</v>
      </c>
      <c r="E187" s="63" t="s">
        <v>24</v>
      </c>
      <c r="F187" s="63" t="s">
        <v>123</v>
      </c>
      <c r="G187" s="5" t="s">
        <v>50</v>
      </c>
      <c r="H187" s="5" t="s">
        <v>9</v>
      </c>
      <c r="I187" s="63" t="s">
        <v>9</v>
      </c>
      <c r="J187" s="63" t="s">
        <v>1139</v>
      </c>
      <c r="K187" s="63" t="s">
        <v>1140</v>
      </c>
      <c r="L187" s="63" t="s">
        <v>388</v>
      </c>
      <c r="M187" s="63" t="s">
        <v>1141</v>
      </c>
      <c r="N187" s="63" t="s">
        <v>112</v>
      </c>
      <c r="O187" s="64" t="s">
        <v>1045</v>
      </c>
      <c r="P187" s="64" t="s">
        <v>112</v>
      </c>
      <c r="Q187" s="63" t="s">
        <v>1158</v>
      </c>
      <c r="R187" s="64" t="s">
        <v>1159</v>
      </c>
      <c r="S187" s="65" t="s">
        <v>1160</v>
      </c>
      <c r="T187" s="64">
        <v>0.6</v>
      </c>
      <c r="U187" s="64" t="s">
        <v>116</v>
      </c>
      <c r="V187" s="64">
        <v>0.6</v>
      </c>
      <c r="W187" s="64"/>
      <c r="X187" s="66"/>
      <c r="Y187" s="64">
        <v>1000000</v>
      </c>
      <c r="Z187" s="8" t="s">
        <v>117</v>
      </c>
      <c r="AA187" s="5" t="s">
        <v>42</v>
      </c>
      <c r="AB187" s="5" t="s">
        <v>222</v>
      </c>
      <c r="AC187" s="67"/>
      <c r="AD187" s="63"/>
      <c r="AE187" s="64" t="s">
        <v>9</v>
      </c>
      <c r="AF187" s="68"/>
      <c r="AG187" s="63"/>
      <c r="AH187" s="64"/>
      <c r="AI187" s="8" t="s">
        <v>1</v>
      </c>
      <c r="AJ187" s="9"/>
      <c r="AK187" s="68">
        <v>46078</v>
      </c>
      <c r="AL187" s="65" t="s">
        <v>1049</v>
      </c>
      <c r="AM187" s="65" t="s">
        <v>17</v>
      </c>
      <c r="AN187" s="68">
        <v>46084</v>
      </c>
      <c r="AO187" s="69"/>
    </row>
    <row r="188" spans="1:41" x14ac:dyDescent="0.45">
      <c r="A188" s="60" t="s">
        <v>1161</v>
      </c>
      <c r="B188" s="61">
        <v>46023</v>
      </c>
      <c r="C188" s="62">
        <v>2026</v>
      </c>
      <c r="D188" s="63" t="s">
        <v>105</v>
      </c>
      <c r="E188" s="63" t="s">
        <v>24</v>
      </c>
      <c r="F188" s="63" t="s">
        <v>123</v>
      </c>
      <c r="G188" s="5" t="s">
        <v>50</v>
      </c>
      <c r="H188" s="5" t="s">
        <v>9</v>
      </c>
      <c r="I188" s="63" t="s">
        <v>9</v>
      </c>
      <c r="J188" s="63" t="s">
        <v>1139</v>
      </c>
      <c r="K188" s="63" t="s">
        <v>1140</v>
      </c>
      <c r="L188" s="63" t="s">
        <v>388</v>
      </c>
      <c r="M188" s="63" t="s">
        <v>1141</v>
      </c>
      <c r="N188" s="63" t="s">
        <v>112</v>
      </c>
      <c r="O188" s="64" t="s">
        <v>1045</v>
      </c>
      <c r="P188" s="64" t="s">
        <v>112</v>
      </c>
      <c r="Q188" s="63" t="s">
        <v>1162</v>
      </c>
      <c r="R188" s="64" t="s">
        <v>1163</v>
      </c>
      <c r="S188" s="65" t="s">
        <v>1164</v>
      </c>
      <c r="T188" s="64">
        <v>0.46</v>
      </c>
      <c r="U188" s="64" t="s">
        <v>116</v>
      </c>
      <c r="V188" s="64">
        <v>0.46</v>
      </c>
      <c r="W188" s="64"/>
      <c r="X188" s="66"/>
      <c r="Y188" s="64">
        <v>1000000</v>
      </c>
      <c r="Z188" s="8" t="s">
        <v>117</v>
      </c>
      <c r="AA188" s="5" t="s">
        <v>42</v>
      </c>
      <c r="AB188" s="5" t="s">
        <v>222</v>
      </c>
      <c r="AC188" s="67"/>
      <c r="AD188" s="63"/>
      <c r="AE188" s="64" t="s">
        <v>9</v>
      </c>
      <c r="AF188" s="68"/>
      <c r="AG188" s="63"/>
      <c r="AH188" s="64"/>
      <c r="AI188" s="8" t="s">
        <v>1</v>
      </c>
      <c r="AJ188" s="9"/>
      <c r="AK188" s="68">
        <v>46078</v>
      </c>
      <c r="AL188" s="65" t="s">
        <v>1049</v>
      </c>
      <c r="AM188" s="65" t="s">
        <v>17</v>
      </c>
      <c r="AN188" s="68">
        <v>46084</v>
      </c>
      <c r="AO188" s="69"/>
    </row>
    <row r="189" spans="1:41" x14ac:dyDescent="0.45">
      <c r="A189" s="35" t="s">
        <v>1165</v>
      </c>
      <c r="B189" s="61">
        <v>46023</v>
      </c>
      <c r="C189" s="62">
        <v>2026</v>
      </c>
      <c r="D189" s="63" t="s">
        <v>105</v>
      </c>
      <c r="E189" s="63" t="s">
        <v>24</v>
      </c>
      <c r="F189" s="63" t="s">
        <v>123</v>
      </c>
      <c r="G189" s="5" t="s">
        <v>50</v>
      </c>
      <c r="H189" s="5" t="s">
        <v>9</v>
      </c>
      <c r="I189" s="63" t="s">
        <v>9</v>
      </c>
      <c r="J189" s="63" t="s">
        <v>1124</v>
      </c>
      <c r="K189" s="63" t="s">
        <v>1125</v>
      </c>
      <c r="L189" s="63" t="s">
        <v>1053</v>
      </c>
      <c r="M189" s="63" t="s">
        <v>1126</v>
      </c>
      <c r="N189" s="63" t="s">
        <v>112</v>
      </c>
      <c r="O189" s="64" t="s">
        <v>1045</v>
      </c>
      <c r="P189" s="64" t="s">
        <v>112</v>
      </c>
      <c r="Q189" s="63" t="s">
        <v>1166</v>
      </c>
      <c r="R189" s="64" t="s">
        <v>1167</v>
      </c>
      <c r="S189" s="65" t="s">
        <v>1168</v>
      </c>
      <c r="T189" s="64">
        <v>0.84</v>
      </c>
      <c r="U189" s="64" t="s">
        <v>116</v>
      </c>
      <c r="V189" s="64">
        <v>0.84</v>
      </c>
      <c r="W189" s="64"/>
      <c r="X189" s="66"/>
      <c r="Y189" s="64">
        <v>1000000</v>
      </c>
      <c r="Z189" s="8" t="s">
        <v>117</v>
      </c>
      <c r="AA189" s="5" t="s">
        <v>42</v>
      </c>
      <c r="AB189" s="5" t="s">
        <v>222</v>
      </c>
      <c r="AC189" s="67"/>
      <c r="AD189" s="63"/>
      <c r="AE189" s="64" t="s">
        <v>9</v>
      </c>
      <c r="AF189" s="68"/>
      <c r="AG189" s="63"/>
      <c r="AH189" s="64"/>
      <c r="AI189" s="8" t="s">
        <v>1</v>
      </c>
      <c r="AJ189" s="9"/>
      <c r="AK189" s="68">
        <v>46078</v>
      </c>
      <c r="AL189" s="65" t="s">
        <v>1049</v>
      </c>
      <c r="AM189" s="65" t="s">
        <v>17</v>
      </c>
      <c r="AN189" s="68">
        <v>46084</v>
      </c>
      <c r="AO189" s="69"/>
    </row>
    <row r="190" spans="1:41" x14ac:dyDescent="0.45">
      <c r="A190" s="60" t="s">
        <v>1169</v>
      </c>
      <c r="B190" s="61">
        <v>46023</v>
      </c>
      <c r="C190" s="62">
        <v>2026</v>
      </c>
      <c r="D190" s="63" t="s">
        <v>105</v>
      </c>
      <c r="E190" s="63" t="s">
        <v>24</v>
      </c>
      <c r="F190" s="63" t="s">
        <v>123</v>
      </c>
      <c r="G190" s="5" t="s">
        <v>50</v>
      </c>
      <c r="H190" s="5" t="s">
        <v>9</v>
      </c>
      <c r="I190" s="63" t="s">
        <v>9</v>
      </c>
      <c r="J190" s="63" t="s">
        <v>1139</v>
      </c>
      <c r="K190" s="63" t="s">
        <v>1140</v>
      </c>
      <c r="L190" s="63" t="s">
        <v>388</v>
      </c>
      <c r="M190" s="63" t="s">
        <v>1141</v>
      </c>
      <c r="N190" s="63" t="s">
        <v>112</v>
      </c>
      <c r="O190" s="64" t="s">
        <v>1045</v>
      </c>
      <c r="P190" s="64" t="s">
        <v>112</v>
      </c>
      <c r="Q190" s="63" t="s">
        <v>1170</v>
      </c>
      <c r="R190" s="64" t="s">
        <v>1171</v>
      </c>
      <c r="S190" s="65" t="s">
        <v>1172</v>
      </c>
      <c r="T190" s="64">
        <v>0.55000000000000004</v>
      </c>
      <c r="U190" s="64" t="s">
        <v>116</v>
      </c>
      <c r="V190" s="64">
        <v>0.55000000000000004</v>
      </c>
      <c r="W190" s="64"/>
      <c r="X190" s="66"/>
      <c r="Y190" s="64">
        <v>1000000</v>
      </c>
      <c r="Z190" s="8" t="s">
        <v>117</v>
      </c>
      <c r="AA190" s="5" t="s">
        <v>42</v>
      </c>
      <c r="AB190" s="5" t="s">
        <v>222</v>
      </c>
      <c r="AC190" s="67"/>
      <c r="AD190" s="63"/>
      <c r="AE190" s="64" t="s">
        <v>9</v>
      </c>
      <c r="AF190" s="68"/>
      <c r="AG190" s="63"/>
      <c r="AH190" s="64"/>
      <c r="AI190" s="8" t="s">
        <v>1</v>
      </c>
      <c r="AJ190" s="9"/>
      <c r="AK190" s="68">
        <v>46078</v>
      </c>
      <c r="AL190" s="65" t="s">
        <v>1049</v>
      </c>
      <c r="AM190" s="65" t="s">
        <v>17</v>
      </c>
      <c r="AN190" s="68">
        <v>46084</v>
      </c>
      <c r="AO190" s="69"/>
    </row>
    <row r="191" spans="1:41" x14ac:dyDescent="0.45">
      <c r="A191" s="35" t="s">
        <v>1173</v>
      </c>
      <c r="B191" s="61">
        <v>46023</v>
      </c>
      <c r="C191" s="62">
        <v>2026</v>
      </c>
      <c r="D191" s="63" t="s">
        <v>105</v>
      </c>
      <c r="E191" s="63" t="s">
        <v>24</v>
      </c>
      <c r="F191" s="63" t="s">
        <v>123</v>
      </c>
      <c r="G191" s="5" t="s">
        <v>50</v>
      </c>
      <c r="H191" s="5" t="s">
        <v>9</v>
      </c>
      <c r="I191" s="63" t="s">
        <v>9</v>
      </c>
      <c r="J191" s="63" t="s">
        <v>1174</v>
      </c>
      <c r="K191" s="63" t="s">
        <v>1175</v>
      </c>
      <c r="L191" s="63" t="s">
        <v>1009</v>
      </c>
      <c r="M191" s="63" t="s">
        <v>1176</v>
      </c>
      <c r="N191" s="63" t="s">
        <v>112</v>
      </c>
      <c r="O191" s="64" t="s">
        <v>1045</v>
      </c>
      <c r="P191" s="64" t="s">
        <v>112</v>
      </c>
      <c r="Q191" s="63" t="s">
        <v>1177</v>
      </c>
      <c r="R191" s="64" t="s">
        <v>1178</v>
      </c>
      <c r="S191" s="65" t="s">
        <v>1179</v>
      </c>
      <c r="T191" s="64">
        <v>0.22</v>
      </c>
      <c r="U191" s="64" t="s">
        <v>116</v>
      </c>
      <c r="V191" s="64">
        <v>0.22</v>
      </c>
      <c r="W191" s="64"/>
      <c r="X191" s="66"/>
      <c r="Y191" s="64">
        <v>100000</v>
      </c>
      <c r="Z191" s="8" t="s">
        <v>117</v>
      </c>
      <c r="AA191" s="5" t="s">
        <v>42</v>
      </c>
      <c r="AB191" s="5" t="s">
        <v>222</v>
      </c>
      <c r="AC191" s="67"/>
      <c r="AD191" s="63"/>
      <c r="AE191" s="64" t="s">
        <v>9</v>
      </c>
      <c r="AF191" s="68"/>
      <c r="AG191" s="63"/>
      <c r="AH191" s="64"/>
      <c r="AI191" s="8" t="s">
        <v>1</v>
      </c>
      <c r="AJ191" s="9"/>
      <c r="AK191" s="68">
        <v>46078</v>
      </c>
      <c r="AL191" s="65" t="s">
        <v>1049</v>
      </c>
      <c r="AM191" s="65" t="s">
        <v>17</v>
      </c>
      <c r="AN191" s="68">
        <v>46084</v>
      </c>
      <c r="AO191" s="69"/>
    </row>
    <row r="192" spans="1:41" x14ac:dyDescent="0.45">
      <c r="A192" s="60" t="s">
        <v>1180</v>
      </c>
      <c r="B192" s="61">
        <v>46023</v>
      </c>
      <c r="C192" s="62">
        <v>2026</v>
      </c>
      <c r="D192" s="63" t="s">
        <v>105</v>
      </c>
      <c r="E192" s="63" t="s">
        <v>24</v>
      </c>
      <c r="F192" s="63" t="s">
        <v>123</v>
      </c>
      <c r="G192" s="5" t="s">
        <v>50</v>
      </c>
      <c r="H192" s="5" t="s">
        <v>9</v>
      </c>
      <c r="I192" s="63" t="s">
        <v>9</v>
      </c>
      <c r="J192" s="63" t="s">
        <v>1174</v>
      </c>
      <c r="K192" s="63" t="s">
        <v>1175</v>
      </c>
      <c r="L192" s="63" t="s">
        <v>1009</v>
      </c>
      <c r="M192" s="63" t="s">
        <v>1176</v>
      </c>
      <c r="N192" s="63" t="s">
        <v>112</v>
      </c>
      <c r="O192" s="64" t="s">
        <v>1045</v>
      </c>
      <c r="P192" s="64" t="s">
        <v>112</v>
      </c>
      <c r="Q192" s="122" t="s">
        <v>1181</v>
      </c>
      <c r="R192" s="64" t="s">
        <v>1182</v>
      </c>
      <c r="S192" s="65" t="s">
        <v>1183</v>
      </c>
      <c r="T192" s="64">
        <v>0.24</v>
      </c>
      <c r="U192" s="64" t="s">
        <v>116</v>
      </c>
      <c r="V192" s="64">
        <v>0.24</v>
      </c>
      <c r="W192" s="64"/>
      <c r="X192" s="66"/>
      <c r="Y192" s="64">
        <v>100000</v>
      </c>
      <c r="Z192" s="8" t="s">
        <v>117</v>
      </c>
      <c r="AA192" s="5" t="s">
        <v>42</v>
      </c>
      <c r="AB192" s="5" t="s">
        <v>222</v>
      </c>
      <c r="AC192" s="67"/>
      <c r="AD192" s="63"/>
      <c r="AE192" s="64" t="s">
        <v>9</v>
      </c>
      <c r="AF192" s="68"/>
      <c r="AG192" s="63"/>
      <c r="AH192" s="64"/>
      <c r="AI192" s="8" t="s">
        <v>1</v>
      </c>
      <c r="AJ192" s="9"/>
      <c r="AK192" s="68">
        <v>46078</v>
      </c>
      <c r="AL192" s="65" t="s">
        <v>1049</v>
      </c>
      <c r="AM192" s="65" t="s">
        <v>17</v>
      </c>
      <c r="AN192" s="68">
        <v>46084</v>
      </c>
      <c r="AO192" s="69"/>
    </row>
    <row r="193" spans="1:41" x14ac:dyDescent="0.45">
      <c r="A193" s="35" t="s">
        <v>1184</v>
      </c>
      <c r="B193" s="61">
        <v>46023</v>
      </c>
      <c r="C193" s="62">
        <v>2026</v>
      </c>
      <c r="D193" s="63" t="s">
        <v>105</v>
      </c>
      <c r="E193" s="63" t="s">
        <v>24</v>
      </c>
      <c r="F193" s="63" t="s">
        <v>123</v>
      </c>
      <c r="G193" s="5" t="s">
        <v>50</v>
      </c>
      <c r="H193" s="5" t="s">
        <v>9</v>
      </c>
      <c r="I193" s="63" t="s">
        <v>9</v>
      </c>
      <c r="J193" s="63" t="s">
        <v>1124</v>
      </c>
      <c r="K193" s="63" t="s">
        <v>1125</v>
      </c>
      <c r="L193" s="63" t="s">
        <v>1053</v>
      </c>
      <c r="M193" s="63" t="s">
        <v>1126</v>
      </c>
      <c r="N193" s="63" t="s">
        <v>112</v>
      </c>
      <c r="O193" s="64" t="s">
        <v>1045</v>
      </c>
      <c r="P193" s="64" t="s">
        <v>112</v>
      </c>
      <c r="Q193" s="63" t="s">
        <v>1185</v>
      </c>
      <c r="R193" s="64" t="s">
        <v>1186</v>
      </c>
      <c r="S193" s="65" t="s">
        <v>1187</v>
      </c>
      <c r="T193" s="64">
        <v>0.77</v>
      </c>
      <c r="U193" s="64" t="s">
        <v>116</v>
      </c>
      <c r="V193" s="64">
        <v>0.77</v>
      </c>
      <c r="W193" s="64"/>
      <c r="X193" s="66"/>
      <c r="Y193" s="64">
        <v>1000000</v>
      </c>
      <c r="Z193" s="8" t="s">
        <v>117</v>
      </c>
      <c r="AA193" s="5" t="s">
        <v>42</v>
      </c>
      <c r="AB193" s="5" t="s">
        <v>222</v>
      </c>
      <c r="AC193" s="67"/>
      <c r="AD193" s="63"/>
      <c r="AE193" s="64" t="s">
        <v>9</v>
      </c>
      <c r="AF193" s="68"/>
      <c r="AG193" s="63"/>
      <c r="AH193" s="64"/>
      <c r="AI193" s="8" t="s">
        <v>1</v>
      </c>
      <c r="AJ193" s="9"/>
      <c r="AK193" s="68">
        <v>46078</v>
      </c>
      <c r="AL193" s="65" t="s">
        <v>1049</v>
      </c>
      <c r="AM193" s="65" t="s">
        <v>17</v>
      </c>
      <c r="AN193" s="68">
        <v>46084</v>
      </c>
      <c r="AO193" s="69"/>
    </row>
    <row r="194" spans="1:41" x14ac:dyDescent="0.45">
      <c r="A194" s="60" t="s">
        <v>1188</v>
      </c>
      <c r="B194" s="61">
        <v>46023</v>
      </c>
      <c r="C194" s="62">
        <v>2026</v>
      </c>
      <c r="D194" s="63" t="s">
        <v>105</v>
      </c>
      <c r="E194" s="63" t="s">
        <v>24</v>
      </c>
      <c r="F194" s="63" t="s">
        <v>123</v>
      </c>
      <c r="G194" s="5" t="s">
        <v>50</v>
      </c>
      <c r="H194" s="5" t="s">
        <v>9</v>
      </c>
      <c r="I194" s="63" t="s">
        <v>9</v>
      </c>
      <c r="J194" s="63" t="s">
        <v>1025</v>
      </c>
      <c r="K194" s="63" t="s">
        <v>1026</v>
      </c>
      <c r="L194" s="63" t="s">
        <v>139</v>
      </c>
      <c r="M194" s="63" t="s">
        <v>1027</v>
      </c>
      <c r="N194" s="63" t="s">
        <v>1028</v>
      </c>
      <c r="O194" s="64" t="s">
        <v>1045</v>
      </c>
      <c r="P194" s="64" t="s">
        <v>112</v>
      </c>
      <c r="Q194" s="63" t="s">
        <v>1189</v>
      </c>
      <c r="R194" s="64" t="s">
        <v>1190</v>
      </c>
      <c r="S194" s="65" t="s">
        <v>1191</v>
      </c>
      <c r="T194" s="64">
        <v>0.55000000000000004</v>
      </c>
      <c r="U194" s="64" t="s">
        <v>116</v>
      </c>
      <c r="V194" s="64">
        <v>0.55000000000000004</v>
      </c>
      <c r="W194" s="64"/>
      <c r="X194" s="66"/>
      <c r="Y194" s="64">
        <v>10000000</v>
      </c>
      <c r="Z194" s="8" t="s">
        <v>117</v>
      </c>
      <c r="AA194" s="5" t="s">
        <v>42</v>
      </c>
      <c r="AB194" s="5" t="s">
        <v>222</v>
      </c>
      <c r="AC194" s="67"/>
      <c r="AD194" s="63"/>
      <c r="AE194" s="64" t="s">
        <v>9</v>
      </c>
      <c r="AF194" s="68"/>
      <c r="AG194" s="63"/>
      <c r="AH194" s="64"/>
      <c r="AI194" s="8" t="s">
        <v>1</v>
      </c>
      <c r="AJ194" s="9"/>
      <c r="AK194" s="68">
        <v>46078</v>
      </c>
      <c r="AL194" s="65" t="s">
        <v>1049</v>
      </c>
      <c r="AM194" s="65" t="s">
        <v>17</v>
      </c>
      <c r="AN194" s="68">
        <v>46084</v>
      </c>
      <c r="AO194" s="69"/>
    </row>
    <row r="195" spans="1:41" x14ac:dyDescent="0.45">
      <c r="A195" s="35" t="s">
        <v>1192</v>
      </c>
      <c r="B195" s="61">
        <v>46023</v>
      </c>
      <c r="C195" s="62">
        <v>2026</v>
      </c>
      <c r="D195" s="63" t="s">
        <v>105</v>
      </c>
      <c r="E195" s="63" t="s">
        <v>24</v>
      </c>
      <c r="F195" s="63" t="s">
        <v>123</v>
      </c>
      <c r="G195" s="5" t="s">
        <v>50</v>
      </c>
      <c r="H195" s="5" t="s">
        <v>9</v>
      </c>
      <c r="I195" s="63" t="s">
        <v>9</v>
      </c>
      <c r="J195" s="63" t="s">
        <v>1193</v>
      </c>
      <c r="K195" s="63" t="s">
        <v>1194</v>
      </c>
      <c r="L195" s="63" t="s">
        <v>149</v>
      </c>
      <c r="M195" s="63" t="s">
        <v>1195</v>
      </c>
      <c r="N195" s="63" t="s">
        <v>112</v>
      </c>
      <c r="O195" s="64" t="s">
        <v>1045</v>
      </c>
      <c r="P195" s="64" t="s">
        <v>112</v>
      </c>
      <c r="Q195" s="63" t="s">
        <v>1196</v>
      </c>
      <c r="R195" s="64" t="s">
        <v>1197</v>
      </c>
      <c r="S195" s="65" t="s">
        <v>1198</v>
      </c>
      <c r="T195" s="64">
        <v>0.33</v>
      </c>
      <c r="U195" s="64" t="s">
        <v>116</v>
      </c>
      <c r="V195" s="64">
        <v>0.33</v>
      </c>
      <c r="W195" s="64"/>
      <c r="X195" s="66"/>
      <c r="Y195" s="64">
        <v>1000000</v>
      </c>
      <c r="Z195" s="8" t="s">
        <v>117</v>
      </c>
      <c r="AA195" s="5" t="s">
        <v>42</v>
      </c>
      <c r="AB195" s="5" t="s">
        <v>222</v>
      </c>
      <c r="AC195" s="67"/>
      <c r="AD195" s="63"/>
      <c r="AE195" s="64" t="s">
        <v>9</v>
      </c>
      <c r="AF195" s="68"/>
      <c r="AG195" s="63"/>
      <c r="AH195" s="64"/>
      <c r="AI195" s="8" t="s">
        <v>1</v>
      </c>
      <c r="AJ195" s="9"/>
      <c r="AK195" s="68">
        <v>46078</v>
      </c>
      <c r="AL195" s="65" t="s">
        <v>1049</v>
      </c>
      <c r="AM195" s="65" t="s">
        <v>17</v>
      </c>
      <c r="AN195" s="68">
        <v>46084</v>
      </c>
      <c r="AO195" s="69"/>
    </row>
    <row r="196" spans="1:41" x14ac:dyDescent="0.45">
      <c r="A196" s="60" t="s">
        <v>1199</v>
      </c>
      <c r="B196" s="61">
        <v>46023</v>
      </c>
      <c r="C196" s="62">
        <v>2026</v>
      </c>
      <c r="D196" s="63" t="s">
        <v>105</v>
      </c>
      <c r="E196" s="63" t="s">
        <v>24</v>
      </c>
      <c r="F196" s="63" t="s">
        <v>123</v>
      </c>
      <c r="G196" s="5" t="s">
        <v>50</v>
      </c>
      <c r="H196" s="5" t="s">
        <v>9</v>
      </c>
      <c r="I196" s="63" t="s">
        <v>9</v>
      </c>
      <c r="J196" s="63" t="s">
        <v>1193</v>
      </c>
      <c r="K196" s="63" t="s">
        <v>1194</v>
      </c>
      <c r="L196" s="63" t="s">
        <v>149</v>
      </c>
      <c r="M196" s="63" t="s">
        <v>1195</v>
      </c>
      <c r="N196" s="63" t="s">
        <v>112</v>
      </c>
      <c r="O196" s="64" t="s">
        <v>1045</v>
      </c>
      <c r="P196" s="64" t="s">
        <v>112</v>
      </c>
      <c r="Q196" s="63" t="s">
        <v>1200</v>
      </c>
      <c r="R196" s="64" t="s">
        <v>1201</v>
      </c>
      <c r="S196" s="65" t="s">
        <v>1202</v>
      </c>
      <c r="T196" s="64">
        <v>0.36</v>
      </c>
      <c r="U196" s="64" t="s">
        <v>116</v>
      </c>
      <c r="V196" s="64">
        <v>0.36</v>
      </c>
      <c r="W196" s="64"/>
      <c r="X196" s="66"/>
      <c r="Y196" s="64">
        <v>1000000</v>
      </c>
      <c r="Z196" s="8" t="s">
        <v>117</v>
      </c>
      <c r="AA196" s="5" t="s">
        <v>42</v>
      </c>
      <c r="AB196" s="5" t="s">
        <v>222</v>
      </c>
      <c r="AC196" s="67"/>
      <c r="AD196" s="63"/>
      <c r="AE196" s="64" t="s">
        <v>9</v>
      </c>
      <c r="AF196" s="68"/>
      <c r="AG196" s="63"/>
      <c r="AH196" s="64"/>
      <c r="AI196" s="8" t="s">
        <v>1</v>
      </c>
      <c r="AJ196" s="9"/>
      <c r="AK196" s="68">
        <v>46078</v>
      </c>
      <c r="AL196" s="65" t="s">
        <v>1049</v>
      </c>
      <c r="AM196" s="65" t="s">
        <v>17</v>
      </c>
      <c r="AN196" s="68">
        <v>46084</v>
      </c>
      <c r="AO196" s="69"/>
    </row>
    <row r="197" spans="1:41" x14ac:dyDescent="0.45">
      <c r="A197" s="35" t="s">
        <v>1203</v>
      </c>
      <c r="B197" s="61">
        <v>46023</v>
      </c>
      <c r="C197" s="62">
        <v>2026</v>
      </c>
      <c r="D197" s="63" t="s">
        <v>105</v>
      </c>
      <c r="E197" s="63" t="s">
        <v>24</v>
      </c>
      <c r="F197" s="63" t="s">
        <v>123</v>
      </c>
      <c r="G197" s="5" t="s">
        <v>50</v>
      </c>
      <c r="H197" s="5" t="s">
        <v>9</v>
      </c>
      <c r="I197" s="63" t="s">
        <v>9</v>
      </c>
      <c r="J197" s="63" t="s">
        <v>1204</v>
      </c>
      <c r="K197" s="63" t="s">
        <v>1205</v>
      </c>
      <c r="L197" s="63" t="s">
        <v>127</v>
      </c>
      <c r="M197" s="63" t="s">
        <v>1206</v>
      </c>
      <c r="N197" s="63" t="s">
        <v>112</v>
      </c>
      <c r="O197" s="64" t="s">
        <v>1045</v>
      </c>
      <c r="P197" s="64" t="s">
        <v>112</v>
      </c>
      <c r="Q197" s="63" t="s">
        <v>1207</v>
      </c>
      <c r="R197" s="64" t="s">
        <v>1208</v>
      </c>
      <c r="S197" s="65" t="s">
        <v>1209</v>
      </c>
      <c r="T197" s="64">
        <v>1.1000000000000001</v>
      </c>
      <c r="U197" s="64" t="s">
        <v>116</v>
      </c>
      <c r="V197" s="64">
        <v>1.1000000000000001</v>
      </c>
      <c r="W197" s="64"/>
      <c r="X197" s="66"/>
      <c r="Y197" s="64">
        <v>1000000</v>
      </c>
      <c r="Z197" s="8" t="s">
        <v>117</v>
      </c>
      <c r="AA197" s="5" t="s">
        <v>42</v>
      </c>
      <c r="AB197" s="5" t="s">
        <v>222</v>
      </c>
      <c r="AC197" s="67"/>
      <c r="AD197" s="63"/>
      <c r="AE197" s="64" t="s">
        <v>9</v>
      </c>
      <c r="AF197" s="68"/>
      <c r="AG197" s="63"/>
      <c r="AH197" s="64"/>
      <c r="AI197" s="8" t="s">
        <v>1</v>
      </c>
      <c r="AJ197" s="9"/>
      <c r="AK197" s="68">
        <v>46078</v>
      </c>
      <c r="AL197" s="65" t="s">
        <v>1049</v>
      </c>
      <c r="AM197" s="65" t="s">
        <v>17</v>
      </c>
      <c r="AN197" s="68">
        <v>46084</v>
      </c>
      <c r="AO197" s="69"/>
    </row>
    <row r="198" spans="1:41" x14ac:dyDescent="0.45">
      <c r="A198" s="60" t="s">
        <v>1210</v>
      </c>
      <c r="B198" s="61">
        <v>46023</v>
      </c>
      <c r="C198" s="62">
        <v>2026</v>
      </c>
      <c r="D198" s="63" t="s">
        <v>105</v>
      </c>
      <c r="E198" s="63" t="s">
        <v>24</v>
      </c>
      <c r="F198" s="63" t="s">
        <v>123</v>
      </c>
      <c r="G198" s="5" t="s">
        <v>50</v>
      </c>
      <c r="H198" s="5" t="s">
        <v>9</v>
      </c>
      <c r="I198" s="63" t="s">
        <v>9</v>
      </c>
      <c r="J198" s="63" t="s">
        <v>1204</v>
      </c>
      <c r="K198" s="122" t="s">
        <v>1205</v>
      </c>
      <c r="L198" s="63" t="s">
        <v>127</v>
      </c>
      <c r="M198" s="63" t="s">
        <v>1206</v>
      </c>
      <c r="N198" s="63" t="s">
        <v>112</v>
      </c>
      <c r="O198" s="64" t="s">
        <v>1045</v>
      </c>
      <c r="P198" s="64" t="s">
        <v>112</v>
      </c>
      <c r="Q198" s="122" t="s">
        <v>1211</v>
      </c>
      <c r="R198" s="64" t="s">
        <v>1212</v>
      </c>
      <c r="S198" s="65" t="s">
        <v>1213</v>
      </c>
      <c r="T198" s="64">
        <v>1.2</v>
      </c>
      <c r="U198" s="64" t="s">
        <v>116</v>
      </c>
      <c r="V198" s="64">
        <v>1.2</v>
      </c>
      <c r="W198" s="64"/>
      <c r="X198" s="66"/>
      <c r="Y198" s="64">
        <v>1000000</v>
      </c>
      <c r="Z198" s="8" t="s">
        <v>117</v>
      </c>
      <c r="AA198" s="5" t="s">
        <v>42</v>
      </c>
      <c r="AB198" s="5" t="s">
        <v>222</v>
      </c>
      <c r="AC198" s="67"/>
      <c r="AD198" s="63"/>
      <c r="AE198" s="64" t="s">
        <v>9</v>
      </c>
      <c r="AF198" s="68"/>
      <c r="AG198" s="63"/>
      <c r="AH198" s="64"/>
      <c r="AI198" s="8" t="s">
        <v>1</v>
      </c>
      <c r="AJ198" s="9"/>
      <c r="AK198" s="68">
        <v>46078</v>
      </c>
      <c r="AL198" s="65" t="s">
        <v>1049</v>
      </c>
      <c r="AM198" s="65" t="s">
        <v>17</v>
      </c>
      <c r="AN198" s="68">
        <v>46084</v>
      </c>
      <c r="AO198" s="69"/>
    </row>
    <row r="199" spans="1:41" x14ac:dyDescent="0.45">
      <c r="A199" s="35" t="s">
        <v>1214</v>
      </c>
      <c r="B199" s="61">
        <v>46023</v>
      </c>
      <c r="C199" s="62">
        <v>2026</v>
      </c>
      <c r="D199" s="63" t="s">
        <v>105</v>
      </c>
      <c r="E199" s="63" t="s">
        <v>24</v>
      </c>
      <c r="F199" s="63" t="s">
        <v>123</v>
      </c>
      <c r="G199" s="5" t="s">
        <v>50</v>
      </c>
      <c r="H199" s="5" t="s">
        <v>9</v>
      </c>
      <c r="I199" s="63" t="s">
        <v>9</v>
      </c>
      <c r="J199" s="63" t="s">
        <v>1193</v>
      </c>
      <c r="K199" s="63" t="s">
        <v>1194</v>
      </c>
      <c r="L199" s="63" t="s">
        <v>149</v>
      </c>
      <c r="M199" s="63" t="s">
        <v>1195</v>
      </c>
      <c r="N199" s="63" t="s">
        <v>112</v>
      </c>
      <c r="O199" s="64" t="s">
        <v>1045</v>
      </c>
      <c r="P199" s="64" t="s">
        <v>112</v>
      </c>
      <c r="Q199" s="63" t="s">
        <v>1215</v>
      </c>
      <c r="R199" s="64" t="s">
        <v>1216</v>
      </c>
      <c r="S199" s="65" t="s">
        <v>1217</v>
      </c>
      <c r="T199" s="64">
        <v>0.36</v>
      </c>
      <c r="U199" s="64" t="s">
        <v>116</v>
      </c>
      <c r="V199" s="64">
        <v>0.36</v>
      </c>
      <c r="W199" s="64"/>
      <c r="X199" s="66"/>
      <c r="Y199" s="64">
        <v>1000000</v>
      </c>
      <c r="Z199" s="8" t="s">
        <v>117</v>
      </c>
      <c r="AA199" s="5" t="s">
        <v>42</v>
      </c>
      <c r="AB199" s="5" t="s">
        <v>222</v>
      </c>
      <c r="AC199" s="67"/>
      <c r="AD199" s="63"/>
      <c r="AE199" s="64" t="s">
        <v>9</v>
      </c>
      <c r="AF199" s="68"/>
      <c r="AG199" s="63"/>
      <c r="AH199" s="64"/>
      <c r="AI199" s="8" t="s">
        <v>1</v>
      </c>
      <c r="AJ199" s="9"/>
      <c r="AK199" s="68">
        <v>46078</v>
      </c>
      <c r="AL199" s="65" t="s">
        <v>1049</v>
      </c>
      <c r="AM199" s="65" t="s">
        <v>17</v>
      </c>
      <c r="AN199" s="68">
        <v>46084</v>
      </c>
      <c r="AO199" s="69"/>
    </row>
    <row r="200" spans="1:41" x14ac:dyDescent="0.45">
      <c r="A200" s="60" t="s">
        <v>1218</v>
      </c>
      <c r="B200" s="61">
        <v>46023</v>
      </c>
      <c r="C200" s="62">
        <v>2026</v>
      </c>
      <c r="D200" s="63" t="s">
        <v>105</v>
      </c>
      <c r="E200" s="63" t="s">
        <v>24</v>
      </c>
      <c r="F200" s="63" t="s">
        <v>123</v>
      </c>
      <c r="G200" s="5" t="s">
        <v>50</v>
      </c>
      <c r="H200" s="5" t="s">
        <v>9</v>
      </c>
      <c r="I200" s="63" t="s">
        <v>9</v>
      </c>
      <c r="J200" s="63" t="s">
        <v>1193</v>
      </c>
      <c r="K200" s="63" t="s">
        <v>1194</v>
      </c>
      <c r="L200" s="63" t="s">
        <v>149</v>
      </c>
      <c r="M200" s="63" t="s">
        <v>1195</v>
      </c>
      <c r="N200" s="63" t="s">
        <v>112</v>
      </c>
      <c r="O200" s="64" t="s">
        <v>1045</v>
      </c>
      <c r="P200" s="64" t="s">
        <v>112</v>
      </c>
      <c r="Q200" s="63" t="s">
        <v>1219</v>
      </c>
      <c r="R200" s="64" t="s">
        <v>1220</v>
      </c>
      <c r="S200" s="65" t="s">
        <v>1221</v>
      </c>
      <c r="T200" s="64">
        <v>0.33</v>
      </c>
      <c r="U200" s="64" t="s">
        <v>116</v>
      </c>
      <c r="V200" s="64">
        <v>0.33</v>
      </c>
      <c r="W200" s="64"/>
      <c r="X200" s="66"/>
      <c r="Y200" s="64">
        <v>1000000</v>
      </c>
      <c r="Z200" s="8" t="s">
        <v>117</v>
      </c>
      <c r="AA200" s="5" t="s">
        <v>42</v>
      </c>
      <c r="AB200" s="5" t="s">
        <v>222</v>
      </c>
      <c r="AC200" s="67"/>
      <c r="AD200" s="63"/>
      <c r="AE200" s="64" t="s">
        <v>9</v>
      </c>
      <c r="AF200" s="68"/>
      <c r="AG200" s="63"/>
      <c r="AH200" s="64"/>
      <c r="AI200" s="8" t="s">
        <v>1</v>
      </c>
      <c r="AJ200" s="9"/>
      <c r="AK200" s="68">
        <v>46078</v>
      </c>
      <c r="AL200" s="65" t="s">
        <v>1049</v>
      </c>
      <c r="AM200" s="65" t="s">
        <v>17</v>
      </c>
      <c r="AN200" s="68">
        <v>46084</v>
      </c>
      <c r="AO200" s="69"/>
    </row>
    <row r="201" spans="1:41" x14ac:dyDescent="0.45">
      <c r="A201" s="35" t="s">
        <v>1222</v>
      </c>
      <c r="B201" s="61">
        <v>46023</v>
      </c>
      <c r="C201" s="62">
        <v>2026</v>
      </c>
      <c r="D201" s="63" t="s">
        <v>105</v>
      </c>
      <c r="E201" s="63" t="s">
        <v>24</v>
      </c>
      <c r="F201" s="63" t="s">
        <v>123</v>
      </c>
      <c r="G201" s="5" t="s">
        <v>50</v>
      </c>
      <c r="H201" s="5" t="s">
        <v>9</v>
      </c>
      <c r="I201" s="63" t="s">
        <v>9</v>
      </c>
      <c r="J201" s="63" t="s">
        <v>1033</v>
      </c>
      <c r="K201" s="63" t="s">
        <v>1034</v>
      </c>
      <c r="L201" s="63" t="s">
        <v>323</v>
      </c>
      <c r="M201" s="63" t="s">
        <v>1035</v>
      </c>
      <c r="N201" s="63" t="s">
        <v>1036</v>
      </c>
      <c r="O201" s="64" t="s">
        <v>1045</v>
      </c>
      <c r="P201" s="64" t="s">
        <v>112</v>
      </c>
      <c r="Q201" s="63" t="s">
        <v>1223</v>
      </c>
      <c r="R201" s="64" t="s">
        <v>1224</v>
      </c>
      <c r="S201" s="65" t="s">
        <v>1225</v>
      </c>
      <c r="T201" s="64">
        <v>0.6</v>
      </c>
      <c r="U201" s="64" t="s">
        <v>116</v>
      </c>
      <c r="V201" s="64">
        <v>0.6</v>
      </c>
      <c r="W201" s="64"/>
      <c r="X201" s="66"/>
      <c r="Y201" s="64">
        <v>1000000</v>
      </c>
      <c r="Z201" s="8" t="s">
        <v>117</v>
      </c>
      <c r="AA201" s="5" t="s">
        <v>42</v>
      </c>
      <c r="AB201" s="5" t="s">
        <v>222</v>
      </c>
      <c r="AC201" s="67"/>
      <c r="AD201" s="63"/>
      <c r="AE201" s="64" t="s">
        <v>9</v>
      </c>
      <c r="AF201" s="68"/>
      <c r="AG201" s="63"/>
      <c r="AH201" s="64"/>
      <c r="AI201" s="8" t="s">
        <v>1</v>
      </c>
      <c r="AJ201" s="9"/>
      <c r="AK201" s="68">
        <v>46078</v>
      </c>
      <c r="AL201" s="65" t="s">
        <v>1049</v>
      </c>
      <c r="AM201" s="65" t="s">
        <v>17</v>
      </c>
      <c r="AN201" s="68">
        <v>46084</v>
      </c>
      <c r="AO201" s="69"/>
    </row>
    <row r="202" spans="1:41" x14ac:dyDescent="0.45">
      <c r="A202" s="60" t="s">
        <v>1226</v>
      </c>
      <c r="B202" s="61">
        <v>46023</v>
      </c>
      <c r="C202" s="62">
        <v>2026</v>
      </c>
      <c r="D202" s="63" t="s">
        <v>105</v>
      </c>
      <c r="E202" s="63" t="s">
        <v>24</v>
      </c>
      <c r="F202" s="63" t="s">
        <v>123</v>
      </c>
      <c r="G202" s="5" t="s">
        <v>50</v>
      </c>
      <c r="H202" s="5" t="s">
        <v>9</v>
      </c>
      <c r="I202" s="63" t="s">
        <v>9</v>
      </c>
      <c r="J202" s="63" t="s">
        <v>1227</v>
      </c>
      <c r="K202" s="63" t="s">
        <v>1228</v>
      </c>
      <c r="L202" s="63" t="s">
        <v>323</v>
      </c>
      <c r="M202" s="63" t="s">
        <v>1229</v>
      </c>
      <c r="N202" s="63" t="s">
        <v>112</v>
      </c>
      <c r="O202" s="64" t="s">
        <v>1045</v>
      </c>
      <c r="P202" s="64" t="s">
        <v>112</v>
      </c>
      <c r="Q202" s="63" t="s">
        <v>1230</v>
      </c>
      <c r="R202" s="64" t="s">
        <v>1231</v>
      </c>
      <c r="S202" s="65" t="s">
        <v>1232</v>
      </c>
      <c r="T202" s="64">
        <v>1.2</v>
      </c>
      <c r="U202" s="64" t="s">
        <v>116</v>
      </c>
      <c r="V202" s="64">
        <v>1.2</v>
      </c>
      <c r="W202" s="64"/>
      <c r="X202" s="66"/>
      <c r="Y202" s="64">
        <v>100000</v>
      </c>
      <c r="Z202" s="8" t="s">
        <v>117</v>
      </c>
      <c r="AA202" s="5" t="s">
        <v>42</v>
      </c>
      <c r="AB202" s="5" t="s">
        <v>222</v>
      </c>
      <c r="AC202" s="67"/>
      <c r="AD202" s="63"/>
      <c r="AE202" s="64" t="s">
        <v>9</v>
      </c>
      <c r="AF202" s="68"/>
      <c r="AG202" s="63"/>
      <c r="AH202" s="64"/>
      <c r="AI202" s="8" t="s">
        <v>1</v>
      </c>
      <c r="AJ202" s="9"/>
      <c r="AK202" s="68">
        <v>46078</v>
      </c>
      <c r="AL202" s="65" t="s">
        <v>1049</v>
      </c>
      <c r="AM202" s="65" t="s">
        <v>17</v>
      </c>
      <c r="AN202" s="68">
        <v>46084</v>
      </c>
      <c r="AO202" s="69"/>
    </row>
    <row r="203" spans="1:41" x14ac:dyDescent="0.45">
      <c r="A203" s="35" t="s">
        <v>1233</v>
      </c>
      <c r="B203" s="61">
        <v>46023</v>
      </c>
      <c r="C203" s="62">
        <v>2026</v>
      </c>
      <c r="D203" s="63" t="s">
        <v>105</v>
      </c>
      <c r="E203" s="63" t="s">
        <v>24</v>
      </c>
      <c r="F203" s="63" t="s">
        <v>123</v>
      </c>
      <c r="G203" s="5" t="s">
        <v>50</v>
      </c>
      <c r="H203" s="5" t="s">
        <v>9</v>
      </c>
      <c r="I203" s="63" t="s">
        <v>9</v>
      </c>
      <c r="J203" s="63" t="s">
        <v>1033</v>
      </c>
      <c r="K203" s="63" t="s">
        <v>1034</v>
      </c>
      <c r="L203" s="63" t="s">
        <v>323</v>
      </c>
      <c r="M203" s="63" t="s">
        <v>1035</v>
      </c>
      <c r="N203" s="63" t="s">
        <v>1036</v>
      </c>
      <c r="O203" s="64" t="s">
        <v>1045</v>
      </c>
      <c r="P203" s="64" t="s">
        <v>112</v>
      </c>
      <c r="Q203" s="122" t="s">
        <v>1234</v>
      </c>
      <c r="R203" s="64" t="s">
        <v>1235</v>
      </c>
      <c r="S203" s="65" t="s">
        <v>1236</v>
      </c>
      <c r="T203" s="64">
        <v>0.55000000000000004</v>
      </c>
      <c r="U203" s="64" t="s">
        <v>116</v>
      </c>
      <c r="V203" s="64">
        <v>0.55000000000000004</v>
      </c>
      <c r="W203" s="64"/>
      <c r="X203" s="66"/>
      <c r="Y203" s="64">
        <v>1000000</v>
      </c>
      <c r="Z203" s="8" t="s">
        <v>117</v>
      </c>
      <c r="AA203" s="5" t="s">
        <v>42</v>
      </c>
      <c r="AB203" s="5" t="s">
        <v>222</v>
      </c>
      <c r="AC203" s="67"/>
      <c r="AD203" s="63"/>
      <c r="AE203" s="64" t="s">
        <v>9</v>
      </c>
      <c r="AF203" s="68"/>
      <c r="AG203" s="63"/>
      <c r="AH203" s="64"/>
      <c r="AI203" s="8" t="s">
        <v>1</v>
      </c>
      <c r="AJ203" s="9"/>
      <c r="AK203" s="68">
        <v>46078</v>
      </c>
      <c r="AL203" s="65" t="s">
        <v>1049</v>
      </c>
      <c r="AM203" s="65" t="s">
        <v>17</v>
      </c>
      <c r="AN203" s="68">
        <v>46084</v>
      </c>
      <c r="AO203" s="69"/>
    </row>
    <row r="204" spans="1:41" x14ac:dyDescent="0.45">
      <c r="A204" s="60" t="s">
        <v>1237</v>
      </c>
      <c r="B204" s="61">
        <v>46023</v>
      </c>
      <c r="C204" s="62">
        <v>2026</v>
      </c>
      <c r="D204" s="63" t="s">
        <v>105</v>
      </c>
      <c r="E204" s="63" t="s">
        <v>24</v>
      </c>
      <c r="F204" s="63" t="s">
        <v>123</v>
      </c>
      <c r="G204" s="5" t="s">
        <v>50</v>
      </c>
      <c r="H204" s="5" t="s">
        <v>9</v>
      </c>
      <c r="I204" s="63" t="s">
        <v>9</v>
      </c>
      <c r="J204" s="63" t="s">
        <v>1033</v>
      </c>
      <c r="K204" s="63" t="s">
        <v>1034</v>
      </c>
      <c r="L204" s="63" t="s">
        <v>323</v>
      </c>
      <c r="M204" s="63" t="s">
        <v>1035</v>
      </c>
      <c r="N204" s="63" t="s">
        <v>1036</v>
      </c>
      <c r="O204" s="64" t="s">
        <v>1045</v>
      </c>
      <c r="P204" s="64" t="s">
        <v>112</v>
      </c>
      <c r="Q204" s="63" t="s">
        <v>1238</v>
      </c>
      <c r="R204" s="64" t="s">
        <v>1239</v>
      </c>
      <c r="S204" s="65" t="s">
        <v>1240</v>
      </c>
      <c r="T204" s="64">
        <v>0.6</v>
      </c>
      <c r="U204" s="64" t="s">
        <v>116</v>
      </c>
      <c r="V204" s="64">
        <v>0.6</v>
      </c>
      <c r="W204" s="64"/>
      <c r="X204" s="66"/>
      <c r="Y204" s="64">
        <v>1000000</v>
      </c>
      <c r="Z204" s="8" t="s">
        <v>117</v>
      </c>
      <c r="AA204" s="5" t="s">
        <v>42</v>
      </c>
      <c r="AB204" s="5" t="s">
        <v>222</v>
      </c>
      <c r="AC204" s="67"/>
      <c r="AD204" s="63"/>
      <c r="AE204" s="64" t="s">
        <v>9</v>
      </c>
      <c r="AF204" s="68"/>
      <c r="AG204" s="63"/>
      <c r="AH204" s="64"/>
      <c r="AI204" s="8" t="s">
        <v>1</v>
      </c>
      <c r="AJ204" s="9"/>
      <c r="AK204" s="68">
        <v>46078</v>
      </c>
      <c r="AL204" s="65" t="s">
        <v>1049</v>
      </c>
      <c r="AM204" s="65" t="s">
        <v>17</v>
      </c>
      <c r="AN204" s="68">
        <v>46084</v>
      </c>
      <c r="AO204" s="69"/>
    </row>
    <row r="205" spans="1:41" s="32" customFormat="1" x14ac:dyDescent="0.45">
      <c r="A205" s="37" t="s">
        <v>1241</v>
      </c>
      <c r="B205" s="90">
        <v>46023</v>
      </c>
      <c r="C205" s="91">
        <v>2026</v>
      </c>
      <c r="D205" s="92" t="s">
        <v>105</v>
      </c>
      <c r="E205" s="92" t="s">
        <v>24</v>
      </c>
      <c r="F205" s="92" t="s">
        <v>123</v>
      </c>
      <c r="G205" s="24" t="s">
        <v>50</v>
      </c>
      <c r="H205" s="24" t="s">
        <v>124</v>
      </c>
      <c r="I205" s="92" t="s">
        <v>10</v>
      </c>
      <c r="J205" s="92" t="s">
        <v>215</v>
      </c>
      <c r="K205" s="92" t="s">
        <v>216</v>
      </c>
      <c r="L205" s="92" t="s">
        <v>149</v>
      </c>
      <c r="M205" s="92" t="s">
        <v>217</v>
      </c>
      <c r="N205" s="92" t="s">
        <v>112</v>
      </c>
      <c r="O205" s="93" t="s">
        <v>1045</v>
      </c>
      <c r="P205" s="93" t="s">
        <v>112</v>
      </c>
      <c r="Q205" s="92" t="s">
        <v>1242</v>
      </c>
      <c r="R205" s="93" t="s">
        <v>1243</v>
      </c>
      <c r="S205" s="94" t="s">
        <v>1244</v>
      </c>
      <c r="T205" s="93">
        <v>0.55000000000000004</v>
      </c>
      <c r="U205" s="93" t="s">
        <v>116</v>
      </c>
      <c r="V205" s="93">
        <v>0.55000000000000004</v>
      </c>
      <c r="W205" s="93"/>
      <c r="X205" s="95"/>
      <c r="Y205" s="93">
        <v>1000000</v>
      </c>
      <c r="Z205" s="27" t="s">
        <v>117</v>
      </c>
      <c r="AA205" s="24" t="s">
        <v>42</v>
      </c>
      <c r="AB205" s="24" t="s">
        <v>222</v>
      </c>
      <c r="AC205" s="96"/>
      <c r="AD205" s="92"/>
      <c r="AE205" s="93" t="s">
        <v>9</v>
      </c>
      <c r="AF205" s="97"/>
      <c r="AG205" s="92"/>
      <c r="AH205" s="93"/>
      <c r="AI205" s="27" t="s">
        <v>1</v>
      </c>
      <c r="AJ205" s="28"/>
      <c r="AK205" s="97">
        <v>46078</v>
      </c>
      <c r="AL205" s="94" t="s">
        <v>1049</v>
      </c>
      <c r="AM205" s="94" t="s">
        <v>17</v>
      </c>
      <c r="AN205" s="97">
        <v>46084</v>
      </c>
      <c r="AO205" s="98"/>
    </row>
    <row r="206" spans="1:41" x14ac:dyDescent="0.45">
      <c r="A206" s="60" t="s">
        <v>1245</v>
      </c>
      <c r="B206" s="61">
        <v>46023</v>
      </c>
      <c r="C206" s="62">
        <v>2026</v>
      </c>
      <c r="D206" s="63" t="s">
        <v>105</v>
      </c>
      <c r="E206" s="63" t="s">
        <v>24</v>
      </c>
      <c r="F206" s="63" t="s">
        <v>123</v>
      </c>
      <c r="G206" s="5" t="s">
        <v>50</v>
      </c>
      <c r="H206" s="5" t="s">
        <v>9</v>
      </c>
      <c r="I206" s="63" t="s">
        <v>9</v>
      </c>
      <c r="J206" s="63" t="s">
        <v>1033</v>
      </c>
      <c r="K206" s="63" t="s">
        <v>1034</v>
      </c>
      <c r="L206" s="63" t="s">
        <v>323</v>
      </c>
      <c r="M206" s="63" t="s">
        <v>1035</v>
      </c>
      <c r="N206" s="63" t="s">
        <v>1036</v>
      </c>
      <c r="O206" s="64" t="s">
        <v>1045</v>
      </c>
      <c r="P206" s="64" t="s">
        <v>112</v>
      </c>
      <c r="Q206" s="63" t="s">
        <v>1246</v>
      </c>
      <c r="R206" s="64" t="s">
        <v>1247</v>
      </c>
      <c r="S206" s="65" t="s">
        <v>1248</v>
      </c>
      <c r="T206" s="64">
        <v>0.55000000000000004</v>
      </c>
      <c r="U206" s="64" t="s">
        <v>116</v>
      </c>
      <c r="V206" s="64">
        <v>0.55000000000000004</v>
      </c>
      <c r="W206" s="64"/>
      <c r="X206" s="66"/>
      <c r="Y206" s="64">
        <v>1000000</v>
      </c>
      <c r="Z206" s="8" t="s">
        <v>117</v>
      </c>
      <c r="AA206" s="5" t="s">
        <v>42</v>
      </c>
      <c r="AB206" s="5" t="s">
        <v>222</v>
      </c>
      <c r="AC206" s="67"/>
      <c r="AD206" s="63"/>
      <c r="AE206" s="64" t="s">
        <v>9</v>
      </c>
      <c r="AF206" s="68"/>
      <c r="AG206" s="63"/>
      <c r="AH206" s="64"/>
      <c r="AI206" s="8" t="s">
        <v>1</v>
      </c>
      <c r="AJ206" s="9"/>
      <c r="AK206" s="68">
        <v>46078</v>
      </c>
      <c r="AL206" s="65" t="s">
        <v>1049</v>
      </c>
      <c r="AM206" s="65" t="s">
        <v>17</v>
      </c>
      <c r="AN206" s="68">
        <v>46084</v>
      </c>
      <c r="AO206" s="69"/>
    </row>
    <row r="207" spans="1:41" s="32" customFormat="1" x14ac:dyDescent="0.45">
      <c r="A207" s="37" t="s">
        <v>1249</v>
      </c>
      <c r="B207" s="90">
        <v>46023</v>
      </c>
      <c r="C207" s="91">
        <v>2026</v>
      </c>
      <c r="D207" s="92" t="s">
        <v>105</v>
      </c>
      <c r="E207" s="92" t="s">
        <v>24</v>
      </c>
      <c r="F207" s="92" t="s">
        <v>123</v>
      </c>
      <c r="G207" s="24" t="s">
        <v>50</v>
      </c>
      <c r="H207" s="24" t="s">
        <v>124</v>
      </c>
      <c r="I207" s="92" t="s">
        <v>10</v>
      </c>
      <c r="J207" s="92" t="s">
        <v>215</v>
      </c>
      <c r="K207" s="92" t="s">
        <v>216</v>
      </c>
      <c r="L207" s="92" t="s">
        <v>149</v>
      </c>
      <c r="M207" s="92" t="s">
        <v>217</v>
      </c>
      <c r="N207" s="92" t="s">
        <v>112</v>
      </c>
      <c r="O207" s="93" t="s">
        <v>1045</v>
      </c>
      <c r="P207" s="93" t="s">
        <v>112</v>
      </c>
      <c r="Q207" s="92" t="s">
        <v>1250</v>
      </c>
      <c r="R207" s="93" t="s">
        <v>1251</v>
      </c>
      <c r="S207" s="94" t="s">
        <v>1252</v>
      </c>
      <c r="T207" s="93">
        <v>0.6</v>
      </c>
      <c r="U207" s="93" t="s">
        <v>116</v>
      </c>
      <c r="V207" s="93">
        <v>0.6</v>
      </c>
      <c r="W207" s="93"/>
      <c r="X207" s="95"/>
      <c r="Y207" s="93">
        <v>1000000</v>
      </c>
      <c r="Z207" s="27" t="s">
        <v>117</v>
      </c>
      <c r="AA207" s="24" t="s">
        <v>42</v>
      </c>
      <c r="AB207" s="24" t="s">
        <v>222</v>
      </c>
      <c r="AC207" s="96"/>
      <c r="AD207" s="92"/>
      <c r="AE207" s="93" t="s">
        <v>9</v>
      </c>
      <c r="AF207" s="97"/>
      <c r="AG207" s="92"/>
      <c r="AH207" s="93"/>
      <c r="AI207" s="27" t="s">
        <v>1</v>
      </c>
      <c r="AJ207" s="28"/>
      <c r="AK207" s="97">
        <v>46078</v>
      </c>
      <c r="AL207" s="94" t="s">
        <v>1049</v>
      </c>
      <c r="AM207" s="94" t="s">
        <v>17</v>
      </c>
      <c r="AN207" s="97">
        <v>46084</v>
      </c>
      <c r="AO207" s="98"/>
    </row>
    <row r="208" spans="1:41" s="32" customFormat="1" x14ac:dyDescent="0.45">
      <c r="A208" s="89" t="s">
        <v>1253</v>
      </c>
      <c r="B208" s="90">
        <v>46023</v>
      </c>
      <c r="C208" s="91">
        <v>2026</v>
      </c>
      <c r="D208" s="92" t="s">
        <v>105</v>
      </c>
      <c r="E208" s="92" t="s">
        <v>24</v>
      </c>
      <c r="F208" s="92" t="s">
        <v>123</v>
      </c>
      <c r="G208" s="24" t="s">
        <v>50</v>
      </c>
      <c r="H208" s="24" t="s">
        <v>124</v>
      </c>
      <c r="I208" s="92" t="s">
        <v>10</v>
      </c>
      <c r="J208" s="92" t="s">
        <v>215</v>
      </c>
      <c r="K208" s="92" t="s">
        <v>216</v>
      </c>
      <c r="L208" s="92" t="s">
        <v>149</v>
      </c>
      <c r="M208" s="92" t="s">
        <v>217</v>
      </c>
      <c r="N208" s="92" t="s">
        <v>112</v>
      </c>
      <c r="O208" s="93" t="s">
        <v>1045</v>
      </c>
      <c r="P208" s="93" t="s">
        <v>112</v>
      </c>
      <c r="Q208" s="92" t="s">
        <v>1254</v>
      </c>
      <c r="R208" s="93" t="s">
        <v>1255</v>
      </c>
      <c r="S208" s="94" t="s">
        <v>1256</v>
      </c>
      <c r="T208" s="93">
        <v>0.6</v>
      </c>
      <c r="U208" s="93" t="s">
        <v>116</v>
      </c>
      <c r="V208" s="93">
        <v>0.6</v>
      </c>
      <c r="W208" s="93"/>
      <c r="X208" s="95"/>
      <c r="Y208" s="93">
        <v>1000000</v>
      </c>
      <c r="Z208" s="27" t="s">
        <v>117</v>
      </c>
      <c r="AA208" s="24" t="s">
        <v>42</v>
      </c>
      <c r="AB208" s="24" t="s">
        <v>222</v>
      </c>
      <c r="AC208" s="96"/>
      <c r="AD208" s="92"/>
      <c r="AE208" s="93" t="s">
        <v>9</v>
      </c>
      <c r="AF208" s="97"/>
      <c r="AG208" s="92"/>
      <c r="AH208" s="93"/>
      <c r="AI208" s="27" t="s">
        <v>1</v>
      </c>
      <c r="AJ208" s="28"/>
      <c r="AK208" s="97">
        <v>46078</v>
      </c>
      <c r="AL208" s="94" t="s">
        <v>1049</v>
      </c>
      <c r="AM208" s="94" t="s">
        <v>17</v>
      </c>
      <c r="AN208" s="97">
        <v>46084</v>
      </c>
      <c r="AO208" s="98"/>
    </row>
    <row r="209" spans="1:41" s="32" customFormat="1" x14ac:dyDescent="0.45">
      <c r="A209" s="37" t="s">
        <v>1257</v>
      </c>
      <c r="B209" s="90">
        <v>46023</v>
      </c>
      <c r="C209" s="91">
        <v>2026</v>
      </c>
      <c r="D209" s="92" t="s">
        <v>105</v>
      </c>
      <c r="E209" s="92" t="s">
        <v>24</v>
      </c>
      <c r="F209" s="92" t="s">
        <v>123</v>
      </c>
      <c r="G209" s="24" t="s">
        <v>50</v>
      </c>
      <c r="H209" s="24" t="s">
        <v>124</v>
      </c>
      <c r="I209" s="92" t="s">
        <v>10</v>
      </c>
      <c r="J209" s="92" t="s">
        <v>215</v>
      </c>
      <c r="K209" s="92" t="s">
        <v>216</v>
      </c>
      <c r="L209" s="92" t="s">
        <v>149</v>
      </c>
      <c r="M209" s="92" t="s">
        <v>217</v>
      </c>
      <c r="N209" s="92" t="s">
        <v>112</v>
      </c>
      <c r="O209" s="93" t="s">
        <v>1045</v>
      </c>
      <c r="P209" s="93" t="s">
        <v>112</v>
      </c>
      <c r="Q209" s="92" t="s">
        <v>1258</v>
      </c>
      <c r="R209" s="93" t="s">
        <v>1259</v>
      </c>
      <c r="S209" s="94" t="s">
        <v>1260</v>
      </c>
      <c r="T209" s="93">
        <v>0.55000000000000004</v>
      </c>
      <c r="U209" s="93" t="s">
        <v>116</v>
      </c>
      <c r="V209" s="93">
        <v>0.55000000000000004</v>
      </c>
      <c r="W209" s="93"/>
      <c r="X209" s="95"/>
      <c r="Y209" s="93">
        <v>1000000</v>
      </c>
      <c r="Z209" s="27" t="s">
        <v>117</v>
      </c>
      <c r="AA209" s="24" t="s">
        <v>42</v>
      </c>
      <c r="AB209" s="24" t="s">
        <v>222</v>
      </c>
      <c r="AC209" s="96"/>
      <c r="AD209" s="92"/>
      <c r="AE209" s="93" t="s">
        <v>9</v>
      </c>
      <c r="AF209" s="97"/>
      <c r="AG209" s="92"/>
      <c r="AH209" s="93"/>
      <c r="AI209" s="27" t="s">
        <v>1</v>
      </c>
      <c r="AJ209" s="28"/>
      <c r="AK209" s="97">
        <v>46078</v>
      </c>
      <c r="AL209" s="94" t="s">
        <v>1049</v>
      </c>
      <c r="AM209" s="94" t="s">
        <v>17</v>
      </c>
      <c r="AN209" s="97">
        <v>46084</v>
      </c>
      <c r="AO209" s="98"/>
    </row>
    <row r="210" spans="1:41" s="109" customFormat="1" x14ac:dyDescent="0.45">
      <c r="A210" s="120" t="s">
        <v>1261</v>
      </c>
      <c r="B210" s="111">
        <v>46023</v>
      </c>
      <c r="C210" s="112">
        <v>2026</v>
      </c>
      <c r="D210" s="113" t="s">
        <v>105</v>
      </c>
      <c r="E210" s="113" t="s">
        <v>24</v>
      </c>
      <c r="F210" s="113" t="s">
        <v>123</v>
      </c>
      <c r="G210" s="102" t="s">
        <v>50</v>
      </c>
      <c r="H210" s="102" t="s">
        <v>585</v>
      </c>
      <c r="I210" s="113" t="s">
        <v>10</v>
      </c>
      <c r="J210" s="113" t="s">
        <v>586</v>
      </c>
      <c r="K210" s="123" t="s">
        <v>587</v>
      </c>
      <c r="L210" s="113" t="s">
        <v>139</v>
      </c>
      <c r="M210" s="113" t="s">
        <v>558</v>
      </c>
      <c r="N210" s="113" t="s">
        <v>228</v>
      </c>
      <c r="O210" s="114" t="s">
        <v>1045</v>
      </c>
      <c r="P210" s="114" t="s">
        <v>112</v>
      </c>
      <c r="Q210" s="113" t="s">
        <v>1262</v>
      </c>
      <c r="R210" s="114" t="s">
        <v>1263</v>
      </c>
      <c r="S210" s="115" t="s">
        <v>1264</v>
      </c>
      <c r="T210" s="114">
        <v>0.16400000000000001</v>
      </c>
      <c r="U210" s="114" t="s">
        <v>116</v>
      </c>
      <c r="V210" s="114">
        <v>0.16400000000000001</v>
      </c>
      <c r="W210" s="114"/>
      <c r="X210" s="116"/>
      <c r="Y210" s="114">
        <v>10000</v>
      </c>
      <c r="Z210" s="103" t="s">
        <v>117</v>
      </c>
      <c r="AA210" s="102" t="s">
        <v>42</v>
      </c>
      <c r="AB210" s="102" t="s">
        <v>222</v>
      </c>
      <c r="AC210" s="117"/>
      <c r="AD210" s="113"/>
      <c r="AE210" s="114" t="s">
        <v>9</v>
      </c>
      <c r="AF210" s="118"/>
      <c r="AG210" s="113"/>
      <c r="AH210" s="114"/>
      <c r="AI210" s="103" t="s">
        <v>1</v>
      </c>
      <c r="AJ210" s="104"/>
      <c r="AK210" s="118">
        <v>46078</v>
      </c>
      <c r="AL210" s="115" t="s">
        <v>1265</v>
      </c>
      <c r="AM210" s="115" t="s">
        <v>17</v>
      </c>
      <c r="AN210" s="118">
        <v>46084</v>
      </c>
      <c r="AO210" s="119"/>
    </row>
    <row r="211" spans="1:41" s="32" customFormat="1" x14ac:dyDescent="0.45">
      <c r="A211" s="37" t="s">
        <v>1266</v>
      </c>
      <c r="B211" s="90">
        <v>46023</v>
      </c>
      <c r="C211" s="91">
        <v>2026</v>
      </c>
      <c r="D211" s="92" t="s">
        <v>105</v>
      </c>
      <c r="E211" s="92" t="s">
        <v>24</v>
      </c>
      <c r="F211" s="92" t="s">
        <v>123</v>
      </c>
      <c r="G211" s="24" t="s">
        <v>50</v>
      </c>
      <c r="H211" s="24" t="s">
        <v>9</v>
      </c>
      <c r="I211" s="92" t="s">
        <v>10</v>
      </c>
      <c r="J211" s="92" t="s">
        <v>556</v>
      </c>
      <c r="K211" s="92" t="s">
        <v>557</v>
      </c>
      <c r="L211" s="92" t="s">
        <v>149</v>
      </c>
      <c r="M211" s="92" t="s">
        <v>558</v>
      </c>
      <c r="N211" s="92" t="s">
        <v>228</v>
      </c>
      <c r="O211" s="93" t="s">
        <v>1045</v>
      </c>
      <c r="P211" s="93" t="s">
        <v>112</v>
      </c>
      <c r="Q211" s="92" t="s">
        <v>1267</v>
      </c>
      <c r="R211" s="93" t="s">
        <v>1268</v>
      </c>
      <c r="S211" s="94" t="s">
        <v>1269</v>
      </c>
      <c r="T211" s="93">
        <v>0.16800000000000001</v>
      </c>
      <c r="U211" s="93" t="s">
        <v>116</v>
      </c>
      <c r="V211" s="93">
        <v>0.16800000000000001</v>
      </c>
      <c r="W211" s="93"/>
      <c r="X211" s="95"/>
      <c r="Y211" s="93">
        <v>100000</v>
      </c>
      <c r="Z211" s="27" t="s">
        <v>117</v>
      </c>
      <c r="AA211" s="24" t="s">
        <v>42</v>
      </c>
      <c r="AB211" s="24" t="s">
        <v>222</v>
      </c>
      <c r="AC211" s="96"/>
      <c r="AD211" s="92"/>
      <c r="AE211" s="93" t="s">
        <v>9</v>
      </c>
      <c r="AF211" s="97"/>
      <c r="AG211" s="92"/>
      <c r="AH211" s="93"/>
      <c r="AI211" s="27" t="s">
        <v>1</v>
      </c>
      <c r="AJ211" s="28"/>
      <c r="AK211" s="97">
        <v>46078</v>
      </c>
      <c r="AL211" s="94" t="s">
        <v>1049</v>
      </c>
      <c r="AM211" s="94" t="s">
        <v>17</v>
      </c>
      <c r="AN211" s="97">
        <v>46084</v>
      </c>
      <c r="AO211" s="98"/>
    </row>
    <row r="212" spans="1:41" s="32" customFormat="1" x14ac:dyDescent="0.45">
      <c r="A212" s="89" t="s">
        <v>1270</v>
      </c>
      <c r="B212" s="90">
        <v>46023</v>
      </c>
      <c r="C212" s="91">
        <v>2026</v>
      </c>
      <c r="D212" s="92" t="s">
        <v>105</v>
      </c>
      <c r="E212" s="92" t="s">
        <v>24</v>
      </c>
      <c r="F212" s="92" t="s">
        <v>123</v>
      </c>
      <c r="G212" s="24" t="s">
        <v>50</v>
      </c>
      <c r="H212" s="24" t="s">
        <v>9</v>
      </c>
      <c r="I212" s="92" t="s">
        <v>10</v>
      </c>
      <c r="J212" s="92" t="s">
        <v>971</v>
      </c>
      <c r="K212" s="92" t="s">
        <v>972</v>
      </c>
      <c r="L212" s="92" t="s">
        <v>261</v>
      </c>
      <c r="M212" s="92" t="s">
        <v>973</v>
      </c>
      <c r="N212" s="92" t="s">
        <v>112</v>
      </c>
      <c r="O212" s="93" t="s">
        <v>1045</v>
      </c>
      <c r="P212" s="93" t="s">
        <v>112</v>
      </c>
      <c r="Q212" s="92" t="s">
        <v>1271</v>
      </c>
      <c r="R212" s="93" t="s">
        <v>1272</v>
      </c>
      <c r="S212" s="94" t="s">
        <v>1273</v>
      </c>
      <c r="T212" s="93">
        <v>0.01</v>
      </c>
      <c r="U212" s="93" t="s">
        <v>116</v>
      </c>
      <c r="V212" s="93">
        <v>0.01</v>
      </c>
      <c r="W212" s="93"/>
      <c r="X212" s="95"/>
      <c r="Y212" s="93">
        <v>10000</v>
      </c>
      <c r="Z212" s="27" t="s">
        <v>117</v>
      </c>
      <c r="AA212" s="24" t="s">
        <v>42</v>
      </c>
      <c r="AB212" s="24" t="s">
        <v>222</v>
      </c>
      <c r="AC212" s="96"/>
      <c r="AD212" s="92"/>
      <c r="AE212" s="93" t="s">
        <v>9</v>
      </c>
      <c r="AF212" s="97"/>
      <c r="AG212" s="92"/>
      <c r="AH212" s="93"/>
      <c r="AI212" s="27" t="s">
        <v>1</v>
      </c>
      <c r="AJ212" s="28"/>
      <c r="AK212" s="97">
        <v>46078</v>
      </c>
      <c r="AL212" s="94" t="s">
        <v>1265</v>
      </c>
      <c r="AM212" s="94" t="s">
        <v>17</v>
      </c>
      <c r="AN212" s="97">
        <v>46084</v>
      </c>
      <c r="AO212" s="98"/>
    </row>
    <row r="213" spans="1:41" s="32" customFormat="1" x14ac:dyDescent="0.45">
      <c r="A213" s="37" t="s">
        <v>1274</v>
      </c>
      <c r="B213" s="90">
        <v>46023</v>
      </c>
      <c r="C213" s="91">
        <v>2026</v>
      </c>
      <c r="D213" s="92" t="s">
        <v>105</v>
      </c>
      <c r="E213" s="92" t="s">
        <v>24</v>
      </c>
      <c r="F213" s="92" t="s">
        <v>123</v>
      </c>
      <c r="G213" s="24" t="s">
        <v>50</v>
      </c>
      <c r="H213" s="24" t="s">
        <v>9</v>
      </c>
      <c r="I213" s="92" t="s">
        <v>10</v>
      </c>
      <c r="J213" s="92" t="s">
        <v>971</v>
      </c>
      <c r="K213" s="92" t="s">
        <v>972</v>
      </c>
      <c r="L213" s="92" t="s">
        <v>261</v>
      </c>
      <c r="M213" s="92" t="s">
        <v>973</v>
      </c>
      <c r="N213" s="92" t="s">
        <v>112</v>
      </c>
      <c r="O213" s="93" t="s">
        <v>1045</v>
      </c>
      <c r="P213" s="93" t="s">
        <v>112</v>
      </c>
      <c r="Q213" s="92" t="s">
        <v>1275</v>
      </c>
      <c r="R213" s="93" t="s">
        <v>1276</v>
      </c>
      <c r="S213" s="94" t="s">
        <v>1277</v>
      </c>
      <c r="T213" s="93">
        <v>0.02</v>
      </c>
      <c r="U213" s="93" t="s">
        <v>116</v>
      </c>
      <c r="V213" s="93">
        <v>0.02</v>
      </c>
      <c r="W213" s="93"/>
      <c r="X213" s="95"/>
      <c r="Y213" s="93">
        <v>10000</v>
      </c>
      <c r="Z213" s="27" t="s">
        <v>117</v>
      </c>
      <c r="AA213" s="24" t="s">
        <v>42</v>
      </c>
      <c r="AB213" s="24" t="s">
        <v>222</v>
      </c>
      <c r="AC213" s="96"/>
      <c r="AD213" s="92"/>
      <c r="AE213" s="93" t="s">
        <v>9</v>
      </c>
      <c r="AF213" s="97"/>
      <c r="AG213" s="92"/>
      <c r="AH213" s="93"/>
      <c r="AI213" s="27" t="s">
        <v>1</v>
      </c>
      <c r="AJ213" s="28"/>
      <c r="AK213" s="97">
        <v>46078</v>
      </c>
      <c r="AL213" s="94" t="s">
        <v>1265</v>
      </c>
      <c r="AM213" s="94" t="s">
        <v>17</v>
      </c>
      <c r="AN213" s="97">
        <v>46084</v>
      </c>
      <c r="AO213" s="98"/>
    </row>
    <row r="214" spans="1:41" s="109" customFormat="1" x14ac:dyDescent="0.45">
      <c r="A214" s="120" t="s">
        <v>1278</v>
      </c>
      <c r="B214" s="111">
        <v>46023</v>
      </c>
      <c r="C214" s="112">
        <v>2026</v>
      </c>
      <c r="D214" s="113" t="s">
        <v>105</v>
      </c>
      <c r="E214" s="113" t="s">
        <v>24</v>
      </c>
      <c r="F214" s="113" t="s">
        <v>123</v>
      </c>
      <c r="G214" s="102" t="s">
        <v>50</v>
      </c>
      <c r="H214" s="102" t="s">
        <v>585</v>
      </c>
      <c r="I214" s="113" t="s">
        <v>10</v>
      </c>
      <c r="J214" s="113" t="s">
        <v>586</v>
      </c>
      <c r="K214" s="113" t="s">
        <v>587</v>
      </c>
      <c r="L214" s="113" t="s">
        <v>139</v>
      </c>
      <c r="M214" s="113" t="s">
        <v>558</v>
      </c>
      <c r="N214" s="113" t="s">
        <v>228</v>
      </c>
      <c r="O214" s="114" t="s">
        <v>1045</v>
      </c>
      <c r="P214" s="114" t="s">
        <v>112</v>
      </c>
      <c r="Q214" s="123" t="s">
        <v>1279</v>
      </c>
      <c r="R214" s="114" t="s">
        <v>1280</v>
      </c>
      <c r="S214" s="115" t="s">
        <v>1269</v>
      </c>
      <c r="T214" s="114">
        <v>0.16400000000000001</v>
      </c>
      <c r="U214" s="114" t="s">
        <v>116</v>
      </c>
      <c r="V214" s="114">
        <v>0.16400000000000001</v>
      </c>
      <c r="W214" s="114"/>
      <c r="X214" s="116"/>
      <c r="Y214" s="114">
        <v>10000</v>
      </c>
      <c r="Z214" s="103" t="s">
        <v>117</v>
      </c>
      <c r="AA214" s="102" t="s">
        <v>42</v>
      </c>
      <c r="AB214" s="102" t="s">
        <v>222</v>
      </c>
      <c r="AC214" s="117"/>
      <c r="AD214" s="113"/>
      <c r="AE214" s="114" t="s">
        <v>9</v>
      </c>
      <c r="AF214" s="118"/>
      <c r="AG214" s="113"/>
      <c r="AH214" s="114"/>
      <c r="AI214" s="103" t="s">
        <v>1</v>
      </c>
      <c r="AJ214" s="104"/>
      <c r="AK214" s="118">
        <v>46078</v>
      </c>
      <c r="AL214" s="115" t="s">
        <v>1265</v>
      </c>
      <c r="AM214" s="115" t="s">
        <v>17</v>
      </c>
      <c r="AN214" s="118">
        <v>46084</v>
      </c>
      <c r="AO214" s="119"/>
    </row>
    <row r="215" spans="1:41" s="32" customFormat="1" x14ac:dyDescent="0.45">
      <c r="A215" s="37" t="s">
        <v>1281</v>
      </c>
      <c r="B215" s="90">
        <v>46023</v>
      </c>
      <c r="C215" s="91">
        <v>2026</v>
      </c>
      <c r="D215" s="92" t="s">
        <v>105</v>
      </c>
      <c r="E215" s="92" t="s">
        <v>24</v>
      </c>
      <c r="F215" s="92" t="s">
        <v>123</v>
      </c>
      <c r="G215" s="24" t="s">
        <v>50</v>
      </c>
      <c r="H215" s="24" t="s">
        <v>124</v>
      </c>
      <c r="I215" s="92" t="s">
        <v>10</v>
      </c>
      <c r="J215" s="92" t="s">
        <v>225</v>
      </c>
      <c r="K215" s="92" t="s">
        <v>226</v>
      </c>
      <c r="L215" s="92" t="s">
        <v>127</v>
      </c>
      <c r="M215" s="92" t="s">
        <v>227</v>
      </c>
      <c r="N215" s="92" t="s">
        <v>228</v>
      </c>
      <c r="O215" s="93" t="s">
        <v>273</v>
      </c>
      <c r="P215" s="93" t="s">
        <v>112</v>
      </c>
      <c r="Q215" s="92" t="s">
        <v>1282</v>
      </c>
      <c r="R215" s="93" t="s">
        <v>1283</v>
      </c>
      <c r="S215" s="94" t="s">
        <v>1284</v>
      </c>
      <c r="T215" s="93">
        <v>1.1000000000000001</v>
      </c>
      <c r="U215" s="93" t="s">
        <v>116</v>
      </c>
      <c r="V215" s="93">
        <v>1.1000000000000001</v>
      </c>
      <c r="W215" s="93"/>
      <c r="X215" s="95"/>
      <c r="Y215" s="93">
        <v>100000</v>
      </c>
      <c r="Z215" s="27" t="s">
        <v>117</v>
      </c>
      <c r="AA215" s="24" t="s">
        <v>42</v>
      </c>
      <c r="AB215" s="24" t="s">
        <v>222</v>
      </c>
      <c r="AC215" s="96"/>
      <c r="AD215" s="92"/>
      <c r="AE215" s="93" t="s">
        <v>9</v>
      </c>
      <c r="AF215" s="97"/>
      <c r="AG215" s="92"/>
      <c r="AH215" s="93"/>
      <c r="AI215" s="27" t="s">
        <v>1</v>
      </c>
      <c r="AJ215" s="28"/>
      <c r="AK215" s="97">
        <v>46078</v>
      </c>
      <c r="AL215" s="94" t="s">
        <v>1005</v>
      </c>
      <c r="AM215" s="94" t="s">
        <v>17</v>
      </c>
      <c r="AN215" s="97">
        <v>46084</v>
      </c>
      <c r="AO215" s="98"/>
    </row>
    <row r="216" spans="1:41" x14ac:dyDescent="0.45">
      <c r="A216" s="35" t="s">
        <v>1285</v>
      </c>
      <c r="B216" s="61">
        <v>46054</v>
      </c>
      <c r="C216" s="62">
        <v>2026</v>
      </c>
      <c r="D216" s="63" t="s">
        <v>105</v>
      </c>
      <c r="E216" s="63" t="s">
        <v>24</v>
      </c>
      <c r="F216" s="63" t="s">
        <v>123</v>
      </c>
      <c r="G216" s="5" t="s">
        <v>50</v>
      </c>
      <c r="H216" s="5" t="s">
        <v>9</v>
      </c>
      <c r="I216" s="63" t="s">
        <v>9</v>
      </c>
      <c r="J216" s="63" t="s">
        <v>1286</v>
      </c>
      <c r="K216" s="63" t="s">
        <v>1287</v>
      </c>
      <c r="L216" s="63" t="s">
        <v>112</v>
      </c>
      <c r="M216" s="63" t="s">
        <v>112</v>
      </c>
      <c r="N216" s="63" t="s">
        <v>112</v>
      </c>
      <c r="O216" s="64" t="s">
        <v>130</v>
      </c>
      <c r="P216" s="64" t="s">
        <v>112</v>
      </c>
      <c r="Q216" s="63" t="s">
        <v>1288</v>
      </c>
      <c r="R216" s="64" t="s">
        <v>1289</v>
      </c>
      <c r="S216" s="65" t="s">
        <v>1507</v>
      </c>
      <c r="T216" s="64">
        <v>2.78</v>
      </c>
      <c r="U216" s="64" t="s">
        <v>116</v>
      </c>
      <c r="V216" s="64">
        <v>2.78</v>
      </c>
      <c r="W216" s="64">
        <v>6.6</v>
      </c>
      <c r="X216" s="125"/>
      <c r="Y216" s="64">
        <v>10000</v>
      </c>
      <c r="Z216" s="8" t="s">
        <v>117</v>
      </c>
      <c r="AA216" s="5" t="s">
        <v>42</v>
      </c>
      <c r="AB216" s="5" t="s">
        <v>1290</v>
      </c>
      <c r="AC216" s="67"/>
      <c r="AD216" s="63"/>
      <c r="AE216" s="64" t="s">
        <v>9</v>
      </c>
      <c r="AF216" s="68"/>
      <c r="AG216" s="63"/>
      <c r="AH216" s="64"/>
      <c r="AI216" s="8" t="s">
        <v>2</v>
      </c>
      <c r="AJ216" s="9" t="s">
        <v>1520</v>
      </c>
      <c r="AK216" s="68"/>
      <c r="AL216" s="65"/>
      <c r="AM216" s="65"/>
      <c r="AN216" s="68"/>
      <c r="AO216" s="69"/>
    </row>
    <row r="217" spans="1:41" x14ac:dyDescent="0.45">
      <c r="A217" s="35" t="s">
        <v>1291</v>
      </c>
      <c r="B217" s="61">
        <v>46054</v>
      </c>
      <c r="C217" s="62">
        <v>2026</v>
      </c>
      <c r="D217" s="63" t="s">
        <v>105</v>
      </c>
      <c r="E217" s="63" t="s">
        <v>24</v>
      </c>
      <c r="F217" s="63" t="s">
        <v>123</v>
      </c>
      <c r="G217" s="5" t="s">
        <v>50</v>
      </c>
      <c r="H217" s="5" t="s">
        <v>9</v>
      </c>
      <c r="I217" s="63" t="s">
        <v>9</v>
      </c>
      <c r="J217" s="63" t="s">
        <v>1292</v>
      </c>
      <c r="K217" s="63" t="s">
        <v>1293</v>
      </c>
      <c r="L217" s="63" t="s">
        <v>112</v>
      </c>
      <c r="M217" s="63" t="s">
        <v>112</v>
      </c>
      <c r="N217" s="63" t="s">
        <v>112</v>
      </c>
      <c r="O217" s="64" t="s">
        <v>130</v>
      </c>
      <c r="P217" s="139" t="s">
        <v>1294</v>
      </c>
      <c r="Q217" s="63" t="s">
        <v>1295</v>
      </c>
      <c r="R217" s="64" t="s">
        <v>1296</v>
      </c>
      <c r="S217" s="65" t="s">
        <v>1297</v>
      </c>
      <c r="T217" s="64">
        <v>1</v>
      </c>
      <c r="U217" s="64" t="s">
        <v>116</v>
      </c>
      <c r="V217" s="64">
        <v>1</v>
      </c>
      <c r="W217" s="64">
        <v>6.6</v>
      </c>
      <c r="X217" s="125"/>
      <c r="Y217" s="64">
        <v>10000</v>
      </c>
      <c r="Z217" s="8" t="s">
        <v>117</v>
      </c>
      <c r="AA217" s="5" t="s">
        <v>42</v>
      </c>
      <c r="AB217" s="5" t="s">
        <v>1290</v>
      </c>
      <c r="AC217" s="67"/>
      <c r="AD217" s="63"/>
      <c r="AE217" s="64" t="s">
        <v>9</v>
      </c>
      <c r="AF217" s="68"/>
      <c r="AG217" s="63"/>
      <c r="AH217" s="64"/>
      <c r="AI217" s="8" t="s">
        <v>2</v>
      </c>
      <c r="AJ217" s="9" t="s">
        <v>1520</v>
      </c>
      <c r="AK217" s="68"/>
      <c r="AL217" s="65"/>
      <c r="AM217" s="65"/>
      <c r="AN217" s="68"/>
      <c r="AO217" s="69"/>
    </row>
    <row r="218" spans="1:41" x14ac:dyDescent="0.45">
      <c r="A218" s="35" t="s">
        <v>1298</v>
      </c>
      <c r="B218" s="61">
        <v>46054</v>
      </c>
      <c r="C218" s="62">
        <v>2026</v>
      </c>
      <c r="D218" s="63" t="s">
        <v>105</v>
      </c>
      <c r="E218" s="63" t="s">
        <v>24</v>
      </c>
      <c r="F218" s="63" t="s">
        <v>123</v>
      </c>
      <c r="G218" s="5" t="s">
        <v>50</v>
      </c>
      <c r="H218" s="5" t="s">
        <v>9</v>
      </c>
      <c r="I218" s="63" t="s">
        <v>10</v>
      </c>
      <c r="J218" s="63" t="s">
        <v>563</v>
      </c>
      <c r="K218" s="63" t="s">
        <v>1299</v>
      </c>
      <c r="L218" s="63" t="s">
        <v>112</v>
      </c>
      <c r="M218" s="63" t="s">
        <v>112</v>
      </c>
      <c r="N218" s="63" t="s">
        <v>112</v>
      </c>
      <c r="O218" s="64" t="s">
        <v>273</v>
      </c>
      <c r="P218" s="64" t="s">
        <v>112</v>
      </c>
      <c r="Q218" s="63" t="s">
        <v>1300</v>
      </c>
      <c r="R218" s="64" t="s">
        <v>1301</v>
      </c>
      <c r="S218" s="65" t="s">
        <v>1302</v>
      </c>
      <c r="T218" s="64">
        <v>0.01</v>
      </c>
      <c r="U218" s="64" t="s">
        <v>116</v>
      </c>
      <c r="V218" s="64">
        <v>0.01</v>
      </c>
      <c r="W218" s="64"/>
      <c r="X218" s="125"/>
      <c r="Y218" s="64">
        <v>1</v>
      </c>
      <c r="Z218" s="8" t="s">
        <v>117</v>
      </c>
      <c r="AA218" s="5" t="s">
        <v>33</v>
      </c>
      <c r="AB218" s="5"/>
      <c r="AC218" s="67"/>
      <c r="AD218" s="63"/>
      <c r="AE218" s="64" t="s">
        <v>9</v>
      </c>
      <c r="AF218" s="68"/>
      <c r="AG218" s="63"/>
      <c r="AH218" s="64"/>
      <c r="AI218" s="8" t="s">
        <v>1</v>
      </c>
      <c r="AJ218" s="9"/>
      <c r="AK218" s="68">
        <v>46100</v>
      </c>
      <c r="AL218" s="65" t="s">
        <v>1398</v>
      </c>
      <c r="AM218" s="65" t="s">
        <v>17</v>
      </c>
      <c r="AN218" s="68">
        <v>46105</v>
      </c>
      <c r="AO218" s="69"/>
    </row>
    <row r="219" spans="1:41" x14ac:dyDescent="0.45">
      <c r="A219" s="35" t="s">
        <v>1303</v>
      </c>
      <c r="B219" s="61">
        <v>46054</v>
      </c>
      <c r="C219" s="62">
        <v>2026</v>
      </c>
      <c r="D219" s="63" t="s">
        <v>105</v>
      </c>
      <c r="E219" s="63" t="s">
        <v>24</v>
      </c>
      <c r="F219" s="63" t="s">
        <v>123</v>
      </c>
      <c r="G219" s="5" t="s">
        <v>50</v>
      </c>
      <c r="H219" s="5" t="s">
        <v>9</v>
      </c>
      <c r="I219" s="63" t="s">
        <v>10</v>
      </c>
      <c r="J219" s="63" t="s">
        <v>696</v>
      </c>
      <c r="K219" s="63" t="s">
        <v>1304</v>
      </c>
      <c r="L219" s="63" t="s">
        <v>112</v>
      </c>
      <c r="M219" s="63" t="s">
        <v>112</v>
      </c>
      <c r="N219" s="63" t="s">
        <v>112</v>
      </c>
      <c r="O219" s="64" t="s">
        <v>229</v>
      </c>
      <c r="P219" s="64" t="s">
        <v>112</v>
      </c>
      <c r="Q219" s="63" t="s">
        <v>1305</v>
      </c>
      <c r="R219" s="64" t="s">
        <v>1306</v>
      </c>
      <c r="S219" s="65" t="s">
        <v>1307</v>
      </c>
      <c r="T219" s="64">
        <v>0.01</v>
      </c>
      <c r="U219" s="64" t="s">
        <v>116</v>
      </c>
      <c r="V219" s="64">
        <v>0.01</v>
      </c>
      <c r="W219" s="64"/>
      <c r="X219" s="125"/>
      <c r="Y219" s="64">
        <v>1</v>
      </c>
      <c r="Z219" s="8" t="s">
        <v>117</v>
      </c>
      <c r="AA219" s="5" t="s">
        <v>33</v>
      </c>
      <c r="AB219" s="5"/>
      <c r="AC219" s="67"/>
      <c r="AD219" s="63"/>
      <c r="AE219" s="64" t="s">
        <v>9</v>
      </c>
      <c r="AF219" s="68"/>
      <c r="AG219" s="63"/>
      <c r="AH219" s="64"/>
      <c r="AI219" s="8" t="s">
        <v>1</v>
      </c>
      <c r="AJ219" s="9"/>
      <c r="AK219" s="68">
        <v>46100</v>
      </c>
      <c r="AL219" s="65" t="s">
        <v>1398</v>
      </c>
      <c r="AM219" s="65" t="s">
        <v>17</v>
      </c>
      <c r="AN219" s="68">
        <v>46105</v>
      </c>
      <c r="AO219" s="69"/>
    </row>
    <row r="220" spans="1:41" x14ac:dyDescent="0.45">
      <c r="A220" s="35" t="s">
        <v>1308</v>
      </c>
      <c r="B220" s="61">
        <v>46054</v>
      </c>
      <c r="C220" s="62">
        <v>2026</v>
      </c>
      <c r="D220" s="63" t="s">
        <v>105</v>
      </c>
      <c r="E220" s="63" t="s">
        <v>24</v>
      </c>
      <c r="F220" s="63" t="s">
        <v>123</v>
      </c>
      <c r="G220" s="5" t="s">
        <v>50</v>
      </c>
      <c r="H220" s="5" t="s">
        <v>9</v>
      </c>
      <c r="I220" s="63" t="s">
        <v>9</v>
      </c>
      <c r="J220" s="63" t="s">
        <v>1309</v>
      </c>
      <c r="K220" s="63" t="s">
        <v>1310</v>
      </c>
      <c r="L220" s="63" t="s">
        <v>112</v>
      </c>
      <c r="M220" s="63" t="s">
        <v>112</v>
      </c>
      <c r="N220" s="63" t="s">
        <v>112</v>
      </c>
      <c r="O220" s="64" t="s">
        <v>130</v>
      </c>
      <c r="P220" s="139" t="s">
        <v>1311</v>
      </c>
      <c r="Q220" s="63" t="s">
        <v>1312</v>
      </c>
      <c r="R220" s="64" t="s">
        <v>1313</v>
      </c>
      <c r="S220" s="65" t="s">
        <v>1314</v>
      </c>
      <c r="T220" s="64">
        <v>2.5</v>
      </c>
      <c r="U220" s="64" t="s">
        <v>116</v>
      </c>
      <c r="V220" s="64">
        <v>2.5</v>
      </c>
      <c r="W220" s="64">
        <v>6.6</v>
      </c>
      <c r="X220" s="125"/>
      <c r="Y220" s="64">
        <v>9999</v>
      </c>
      <c r="Z220" s="8" t="s">
        <v>117</v>
      </c>
      <c r="AA220" s="5" t="s">
        <v>42</v>
      </c>
      <c r="AB220" s="5" t="s">
        <v>1290</v>
      </c>
      <c r="AC220" s="67"/>
      <c r="AD220" s="63"/>
      <c r="AE220" s="64" t="s">
        <v>9</v>
      </c>
      <c r="AF220" s="68"/>
      <c r="AG220" s="63"/>
      <c r="AH220" s="64"/>
      <c r="AI220" s="8" t="s">
        <v>2</v>
      </c>
      <c r="AJ220" s="9" t="s">
        <v>1520</v>
      </c>
      <c r="AK220" s="68"/>
      <c r="AL220" s="65"/>
      <c r="AM220" s="65"/>
      <c r="AN220" s="68"/>
      <c r="AO220" s="69"/>
    </row>
    <row r="221" spans="1:41" x14ac:dyDescent="0.45">
      <c r="A221" s="35" t="s">
        <v>1315</v>
      </c>
      <c r="B221" s="61">
        <v>46054</v>
      </c>
      <c r="C221" s="62">
        <v>2026</v>
      </c>
      <c r="D221" s="63" t="s">
        <v>105</v>
      </c>
      <c r="E221" s="63" t="s">
        <v>24</v>
      </c>
      <c r="F221" s="63" t="s">
        <v>123</v>
      </c>
      <c r="G221" s="5" t="s">
        <v>50</v>
      </c>
      <c r="H221" s="5" t="s">
        <v>9</v>
      </c>
      <c r="I221" s="63" t="s">
        <v>9</v>
      </c>
      <c r="J221" s="63" t="s">
        <v>1316</v>
      </c>
      <c r="K221" s="63" t="s">
        <v>1317</v>
      </c>
      <c r="L221" s="63" t="s">
        <v>112</v>
      </c>
      <c r="M221" s="63" t="s">
        <v>112</v>
      </c>
      <c r="N221" s="63" t="s">
        <v>112</v>
      </c>
      <c r="O221" s="64" t="s">
        <v>130</v>
      </c>
      <c r="P221" s="139" t="s">
        <v>1318</v>
      </c>
      <c r="Q221" s="63" t="s">
        <v>1319</v>
      </c>
      <c r="R221" s="64" t="s">
        <v>1320</v>
      </c>
      <c r="S221" s="65" t="s">
        <v>1321</v>
      </c>
      <c r="T221" s="64">
        <v>0.1</v>
      </c>
      <c r="U221" s="64" t="s">
        <v>116</v>
      </c>
      <c r="V221" s="64">
        <v>0.1</v>
      </c>
      <c r="W221" s="64">
        <v>6.6</v>
      </c>
      <c r="X221" s="125"/>
      <c r="Y221" s="64">
        <v>200000</v>
      </c>
      <c r="Z221" s="8" t="s">
        <v>117</v>
      </c>
      <c r="AA221" s="5" t="s">
        <v>42</v>
      </c>
      <c r="AB221" s="5" t="s">
        <v>1290</v>
      </c>
      <c r="AC221" s="67"/>
      <c r="AD221" s="63"/>
      <c r="AE221" s="64" t="s">
        <v>9</v>
      </c>
      <c r="AF221" s="68"/>
      <c r="AG221" s="63"/>
      <c r="AH221" s="64"/>
      <c r="AI221" s="8" t="s">
        <v>2</v>
      </c>
      <c r="AJ221" s="9" t="s">
        <v>1520</v>
      </c>
      <c r="AK221" s="68"/>
      <c r="AL221" s="65"/>
      <c r="AM221" s="65"/>
      <c r="AN221" s="68"/>
      <c r="AO221" s="69"/>
    </row>
    <row r="222" spans="1:41" x14ac:dyDescent="0.45">
      <c r="A222" s="35" t="s">
        <v>1322</v>
      </c>
      <c r="B222" s="61">
        <v>46054</v>
      </c>
      <c r="C222" s="62">
        <v>2026</v>
      </c>
      <c r="D222" s="63" t="s">
        <v>105</v>
      </c>
      <c r="E222" s="63" t="s">
        <v>24</v>
      </c>
      <c r="F222" s="63" t="s">
        <v>123</v>
      </c>
      <c r="G222" s="5" t="s">
        <v>50</v>
      </c>
      <c r="H222" s="5" t="s">
        <v>9</v>
      </c>
      <c r="I222" s="63" t="s">
        <v>10</v>
      </c>
      <c r="J222" s="63" t="s">
        <v>757</v>
      </c>
      <c r="K222" s="63" t="s">
        <v>1323</v>
      </c>
      <c r="L222" s="63" t="s">
        <v>112</v>
      </c>
      <c r="M222" s="63" t="s">
        <v>112</v>
      </c>
      <c r="N222" s="63" t="s">
        <v>112</v>
      </c>
      <c r="O222" s="64" t="s">
        <v>130</v>
      </c>
      <c r="P222" s="64" t="s">
        <v>112</v>
      </c>
      <c r="Q222" s="63" t="s">
        <v>1324</v>
      </c>
      <c r="R222" s="64" t="s">
        <v>1325</v>
      </c>
      <c r="S222" s="65" t="s">
        <v>1326</v>
      </c>
      <c r="T222" s="64">
        <v>1.6</v>
      </c>
      <c r="U222" s="64" t="s">
        <v>116</v>
      </c>
      <c r="V222" s="64">
        <v>1.6</v>
      </c>
      <c r="W222" s="64">
        <v>6.6</v>
      </c>
      <c r="X222" s="125"/>
      <c r="Y222" s="64">
        <v>100000</v>
      </c>
      <c r="Z222" s="8" t="s">
        <v>117</v>
      </c>
      <c r="AA222" s="5" t="s">
        <v>42</v>
      </c>
      <c r="AB222" s="5" t="s">
        <v>1290</v>
      </c>
      <c r="AC222" s="67"/>
      <c r="AD222" s="63"/>
      <c r="AE222" s="64" t="s">
        <v>9</v>
      </c>
      <c r="AF222" s="68"/>
      <c r="AG222" s="63"/>
      <c r="AH222" s="64"/>
      <c r="AI222" s="8" t="s">
        <v>2</v>
      </c>
      <c r="AJ222" s="9" t="s">
        <v>1520</v>
      </c>
      <c r="AK222" s="68"/>
      <c r="AL222" s="65"/>
      <c r="AM222" s="65"/>
      <c r="AN222" s="68"/>
      <c r="AO222" s="69"/>
    </row>
    <row r="223" spans="1:41" x14ac:dyDescent="0.45">
      <c r="A223" s="35" t="s">
        <v>1327</v>
      </c>
      <c r="B223" s="61">
        <v>46054</v>
      </c>
      <c r="C223" s="62">
        <v>2026</v>
      </c>
      <c r="D223" s="63" t="s">
        <v>105</v>
      </c>
      <c r="E223" s="63" t="s">
        <v>24</v>
      </c>
      <c r="F223" s="63" t="s">
        <v>123</v>
      </c>
      <c r="G223" s="5" t="s">
        <v>50</v>
      </c>
      <c r="H223" s="5" t="s">
        <v>9</v>
      </c>
      <c r="I223" s="63" t="s">
        <v>9</v>
      </c>
      <c r="J223" s="63" t="s">
        <v>1328</v>
      </c>
      <c r="K223" s="63" t="s">
        <v>1329</v>
      </c>
      <c r="L223" s="63" t="s">
        <v>112</v>
      </c>
      <c r="M223" s="63" t="s">
        <v>112</v>
      </c>
      <c r="N223" s="63" t="s">
        <v>112</v>
      </c>
      <c r="O223" s="64" t="s">
        <v>218</v>
      </c>
      <c r="P223" s="139" t="s">
        <v>1330</v>
      </c>
      <c r="Q223" s="63" t="s">
        <v>1331</v>
      </c>
      <c r="R223" s="64" t="s">
        <v>1332</v>
      </c>
      <c r="S223" s="65" t="s">
        <v>1333</v>
      </c>
      <c r="T223" s="64">
        <v>0.1</v>
      </c>
      <c r="U223" s="64" t="s">
        <v>116</v>
      </c>
      <c r="V223" s="64">
        <v>0.1</v>
      </c>
      <c r="W223" s="64"/>
      <c r="X223" s="125"/>
      <c r="Y223" s="64">
        <v>200000</v>
      </c>
      <c r="Z223" s="8" t="s">
        <v>117</v>
      </c>
      <c r="AA223" s="5" t="s">
        <v>42</v>
      </c>
      <c r="AB223" s="5" t="s">
        <v>965</v>
      </c>
      <c r="AC223" s="67"/>
      <c r="AD223" s="63"/>
      <c r="AE223" s="64" t="s">
        <v>9</v>
      </c>
      <c r="AF223" s="68"/>
      <c r="AG223" s="63"/>
      <c r="AH223" s="64"/>
      <c r="AI223" s="8" t="s">
        <v>1</v>
      </c>
      <c r="AJ223" s="9"/>
      <c r="AK223" s="68">
        <v>46100</v>
      </c>
      <c r="AL223" s="65" t="s">
        <v>1399</v>
      </c>
      <c r="AM223" s="65" t="s">
        <v>17</v>
      </c>
      <c r="AN223" s="68">
        <v>46105</v>
      </c>
      <c r="AO223" s="69"/>
    </row>
    <row r="224" spans="1:41" x14ac:dyDescent="0.45">
      <c r="A224" s="35" t="s">
        <v>1334</v>
      </c>
      <c r="B224" s="61">
        <v>46054</v>
      </c>
      <c r="C224" s="62">
        <v>2026</v>
      </c>
      <c r="D224" s="63" t="s">
        <v>105</v>
      </c>
      <c r="E224" s="63" t="s">
        <v>24</v>
      </c>
      <c r="F224" s="63" t="s">
        <v>123</v>
      </c>
      <c r="G224" s="5" t="s">
        <v>50</v>
      </c>
      <c r="H224" s="5" t="s">
        <v>9</v>
      </c>
      <c r="I224" s="63" t="s">
        <v>9</v>
      </c>
      <c r="J224" s="63" t="s">
        <v>1328</v>
      </c>
      <c r="K224" s="63" t="s">
        <v>1329</v>
      </c>
      <c r="L224" s="63" t="s">
        <v>112</v>
      </c>
      <c r="M224" s="63" t="s">
        <v>112</v>
      </c>
      <c r="N224" s="63" t="s">
        <v>112</v>
      </c>
      <c r="O224" s="64" t="s">
        <v>218</v>
      </c>
      <c r="P224" s="139" t="s">
        <v>1330</v>
      </c>
      <c r="Q224" s="63" t="s">
        <v>1335</v>
      </c>
      <c r="R224" s="64" t="s">
        <v>1336</v>
      </c>
      <c r="S224" s="65" t="s">
        <v>1337</v>
      </c>
      <c r="T224" s="64">
        <v>0.1</v>
      </c>
      <c r="U224" s="64" t="s">
        <v>116</v>
      </c>
      <c r="V224" s="64">
        <v>0.1</v>
      </c>
      <c r="W224" s="64"/>
      <c r="X224" s="125"/>
      <c r="Y224" s="64">
        <v>10000</v>
      </c>
      <c r="Z224" s="8" t="s">
        <v>117</v>
      </c>
      <c r="AA224" s="5" t="s">
        <v>42</v>
      </c>
      <c r="AB224" s="5" t="s">
        <v>965</v>
      </c>
      <c r="AC224" s="67"/>
      <c r="AD224" s="63"/>
      <c r="AE224" s="64" t="s">
        <v>9</v>
      </c>
      <c r="AF224" s="68"/>
      <c r="AG224" s="63"/>
      <c r="AH224" s="64"/>
      <c r="AI224" s="8" t="s">
        <v>1</v>
      </c>
      <c r="AJ224" s="9"/>
      <c r="AK224" s="68">
        <v>46100</v>
      </c>
      <c r="AL224" s="65" t="s">
        <v>1399</v>
      </c>
      <c r="AM224" s="65" t="s">
        <v>17</v>
      </c>
      <c r="AN224" s="68">
        <v>46105</v>
      </c>
      <c r="AO224" s="69"/>
    </row>
    <row r="225" spans="1:41" x14ac:dyDescent="0.45">
      <c r="A225" s="35" t="s">
        <v>1338</v>
      </c>
      <c r="B225" s="61">
        <v>46054</v>
      </c>
      <c r="C225" s="62">
        <v>2026</v>
      </c>
      <c r="D225" s="63" t="s">
        <v>105</v>
      </c>
      <c r="E225" s="63" t="s">
        <v>24</v>
      </c>
      <c r="F225" s="63" t="s">
        <v>123</v>
      </c>
      <c r="G225" s="5" t="s">
        <v>50</v>
      </c>
      <c r="H225" s="5" t="s">
        <v>9</v>
      </c>
      <c r="I225" s="63" t="s">
        <v>9</v>
      </c>
      <c r="J225" s="63" t="s">
        <v>1328</v>
      </c>
      <c r="K225" s="63" t="s">
        <v>1329</v>
      </c>
      <c r="L225" s="63" t="s">
        <v>112</v>
      </c>
      <c r="M225" s="63" t="s">
        <v>112</v>
      </c>
      <c r="N225" s="63" t="s">
        <v>112</v>
      </c>
      <c r="O225" s="64" t="s">
        <v>1339</v>
      </c>
      <c r="P225" s="139" t="s">
        <v>1340</v>
      </c>
      <c r="Q225" s="63" t="s">
        <v>1341</v>
      </c>
      <c r="R225" s="64" t="s">
        <v>1342</v>
      </c>
      <c r="S225" s="65" t="s">
        <v>1343</v>
      </c>
      <c r="T225" s="64">
        <v>0.42</v>
      </c>
      <c r="U225" s="64" t="s">
        <v>116</v>
      </c>
      <c r="V225" s="64">
        <v>0.42</v>
      </c>
      <c r="W225" s="64"/>
      <c r="X225" s="125"/>
      <c r="Y225" s="64">
        <v>312229</v>
      </c>
      <c r="Z225" s="8" t="s">
        <v>117</v>
      </c>
      <c r="AA225" s="5" t="s">
        <v>42</v>
      </c>
      <c r="AB225" s="5" t="s">
        <v>965</v>
      </c>
      <c r="AC225" s="67"/>
      <c r="AD225" s="63"/>
      <c r="AE225" s="64" t="s">
        <v>9</v>
      </c>
      <c r="AF225" s="68"/>
      <c r="AG225" s="63"/>
      <c r="AH225" s="64"/>
      <c r="AI225" s="8" t="s">
        <v>1</v>
      </c>
      <c r="AJ225" s="9"/>
      <c r="AK225" s="68">
        <v>46100</v>
      </c>
      <c r="AL225" s="65" t="s">
        <v>1399</v>
      </c>
      <c r="AM225" s="65" t="s">
        <v>17</v>
      </c>
      <c r="AN225" s="68">
        <v>46105</v>
      </c>
      <c r="AO225" s="69"/>
    </row>
    <row r="226" spans="1:41" x14ac:dyDescent="0.45">
      <c r="A226" s="35" t="s">
        <v>1344</v>
      </c>
      <c r="B226" s="61">
        <v>46054</v>
      </c>
      <c r="C226" s="62">
        <v>2026</v>
      </c>
      <c r="D226" s="63" t="s">
        <v>105</v>
      </c>
      <c r="E226" s="63" t="s">
        <v>24</v>
      </c>
      <c r="F226" s="63" t="s">
        <v>123</v>
      </c>
      <c r="G226" s="5" t="s">
        <v>50</v>
      </c>
      <c r="H226" s="5" t="s">
        <v>9</v>
      </c>
      <c r="I226" s="63" t="s">
        <v>9</v>
      </c>
      <c r="J226" s="63" t="s">
        <v>1345</v>
      </c>
      <c r="K226" s="63" t="s">
        <v>1346</v>
      </c>
      <c r="L226" s="63" t="s">
        <v>112</v>
      </c>
      <c r="M226" s="63" t="s">
        <v>112</v>
      </c>
      <c r="N226" s="63" t="s">
        <v>112</v>
      </c>
      <c r="O226" s="64" t="s">
        <v>701</v>
      </c>
      <c r="P226" s="64" t="s">
        <v>112</v>
      </c>
      <c r="Q226" s="63" t="s">
        <v>1347</v>
      </c>
      <c r="R226" s="64" t="s">
        <v>1348</v>
      </c>
      <c r="S226" s="65" t="s">
        <v>1349</v>
      </c>
      <c r="T226" s="64">
        <v>1</v>
      </c>
      <c r="U226" s="64" t="s">
        <v>116</v>
      </c>
      <c r="V226" s="64">
        <v>1</v>
      </c>
      <c r="W226" s="64"/>
      <c r="X226" s="125"/>
      <c r="Y226" s="64">
        <v>1</v>
      </c>
      <c r="Z226" s="8" t="s">
        <v>117</v>
      </c>
      <c r="AA226" s="5" t="s">
        <v>33</v>
      </c>
      <c r="AB226" s="5"/>
      <c r="AC226" s="67"/>
      <c r="AD226" s="63"/>
      <c r="AE226" s="64" t="s">
        <v>9</v>
      </c>
      <c r="AF226" s="68"/>
      <c r="AG226" s="63"/>
      <c r="AH226" s="64"/>
      <c r="AI226" s="8" t="s">
        <v>1</v>
      </c>
      <c r="AJ226" s="9"/>
      <c r="AK226" s="68">
        <v>46100</v>
      </c>
      <c r="AL226" s="65" t="s">
        <v>1398</v>
      </c>
      <c r="AM226" s="65" t="s">
        <v>17</v>
      </c>
      <c r="AN226" s="68">
        <v>46105</v>
      </c>
      <c r="AO226" s="69"/>
    </row>
    <row r="227" spans="1:41" x14ac:dyDescent="0.45">
      <c r="A227" s="35" t="s">
        <v>1350</v>
      </c>
      <c r="B227" s="61">
        <v>46054</v>
      </c>
      <c r="C227" s="62">
        <v>2026</v>
      </c>
      <c r="D227" s="63" t="s">
        <v>105</v>
      </c>
      <c r="E227" s="63" t="s">
        <v>24</v>
      </c>
      <c r="F227" s="63" t="s">
        <v>123</v>
      </c>
      <c r="G227" s="5" t="s">
        <v>50</v>
      </c>
      <c r="H227" s="5" t="s">
        <v>9</v>
      </c>
      <c r="I227" s="63" t="s">
        <v>9</v>
      </c>
      <c r="J227" s="63" t="s">
        <v>1345</v>
      </c>
      <c r="K227" s="63" t="s">
        <v>1346</v>
      </c>
      <c r="L227" s="63" t="s">
        <v>112</v>
      </c>
      <c r="M227" s="63" t="s">
        <v>112</v>
      </c>
      <c r="N227" s="63" t="s">
        <v>112</v>
      </c>
      <c r="O227" s="64" t="s">
        <v>34</v>
      </c>
      <c r="P227" s="64" t="s">
        <v>112</v>
      </c>
      <c r="Q227" s="63" t="s">
        <v>1351</v>
      </c>
      <c r="R227" s="64" t="s">
        <v>1352</v>
      </c>
      <c r="S227" s="65" t="s">
        <v>1353</v>
      </c>
      <c r="T227" s="64">
        <v>1</v>
      </c>
      <c r="U227" s="64" t="s">
        <v>116</v>
      </c>
      <c r="V227" s="64">
        <v>1</v>
      </c>
      <c r="W227" s="64"/>
      <c r="X227" s="125"/>
      <c r="Y227" s="64">
        <v>1</v>
      </c>
      <c r="Z227" s="8" t="s">
        <v>117</v>
      </c>
      <c r="AA227" s="5" t="s">
        <v>33</v>
      </c>
      <c r="AB227" s="5"/>
      <c r="AC227" s="67"/>
      <c r="AD227" s="63"/>
      <c r="AE227" s="64" t="s">
        <v>9</v>
      </c>
      <c r="AF227" s="68"/>
      <c r="AG227" s="63"/>
      <c r="AH227" s="64"/>
      <c r="AI227" s="8" t="s">
        <v>1</v>
      </c>
      <c r="AJ227" s="9"/>
      <c r="AK227" s="68">
        <v>46100</v>
      </c>
      <c r="AL227" s="65" t="s">
        <v>1398</v>
      </c>
      <c r="AM227" s="65" t="s">
        <v>17</v>
      </c>
      <c r="AN227" s="68">
        <v>46105</v>
      </c>
      <c r="AO227" s="69"/>
    </row>
    <row r="228" spans="1:41" x14ac:dyDescent="0.45">
      <c r="A228" s="35" t="s">
        <v>1354</v>
      </c>
      <c r="B228" s="61">
        <v>46054</v>
      </c>
      <c r="C228" s="62">
        <v>2026</v>
      </c>
      <c r="D228" s="63" t="s">
        <v>105</v>
      </c>
      <c r="E228" s="63" t="s">
        <v>24</v>
      </c>
      <c r="F228" s="63" t="s">
        <v>123</v>
      </c>
      <c r="G228" s="5" t="s">
        <v>50</v>
      </c>
      <c r="H228" s="5" t="s">
        <v>9</v>
      </c>
      <c r="I228" s="63" t="s">
        <v>9</v>
      </c>
      <c r="J228" s="63" t="s">
        <v>1355</v>
      </c>
      <c r="K228" s="63" t="s">
        <v>1356</v>
      </c>
      <c r="L228" s="63" t="s">
        <v>112</v>
      </c>
      <c r="M228" s="63" t="s">
        <v>112</v>
      </c>
      <c r="N228" s="63" t="s">
        <v>112</v>
      </c>
      <c r="O228" s="64" t="s">
        <v>1357</v>
      </c>
      <c r="P228" s="139" t="s">
        <v>1358</v>
      </c>
      <c r="Q228" s="63" t="s">
        <v>1359</v>
      </c>
      <c r="R228" s="64" t="s">
        <v>1360</v>
      </c>
      <c r="S228" s="65" t="s">
        <v>1361</v>
      </c>
      <c r="T228" s="64">
        <v>0.02</v>
      </c>
      <c r="U228" s="64" t="s">
        <v>116</v>
      </c>
      <c r="V228" s="64">
        <v>0.02</v>
      </c>
      <c r="W228" s="64"/>
      <c r="X228" s="125"/>
      <c r="Y228" s="64">
        <v>5000</v>
      </c>
      <c r="Z228" s="8" t="s">
        <v>117</v>
      </c>
      <c r="AA228" s="5" t="s">
        <v>42</v>
      </c>
      <c r="AB228" s="5" t="s">
        <v>965</v>
      </c>
      <c r="AC228" s="67"/>
      <c r="AD228" s="63"/>
      <c r="AE228" s="64" t="s">
        <v>9</v>
      </c>
      <c r="AF228" s="68"/>
      <c r="AG228" s="63"/>
      <c r="AH228" s="64"/>
      <c r="AI228" s="8" t="s">
        <v>1</v>
      </c>
      <c r="AJ228" s="9"/>
      <c r="AK228" s="68">
        <v>46100</v>
      </c>
      <c r="AL228" s="65" t="s">
        <v>1399</v>
      </c>
      <c r="AM228" s="65" t="s">
        <v>17</v>
      </c>
      <c r="AN228" s="68">
        <v>46105</v>
      </c>
      <c r="AO228" s="69"/>
    </row>
    <row r="229" spans="1:41" x14ac:dyDescent="0.45">
      <c r="A229" s="35" t="s">
        <v>1362</v>
      </c>
      <c r="B229" s="61">
        <v>46054</v>
      </c>
      <c r="C229" s="62">
        <v>2026</v>
      </c>
      <c r="D229" s="63" t="s">
        <v>105</v>
      </c>
      <c r="E229" s="63" t="s">
        <v>24</v>
      </c>
      <c r="F229" s="63" t="s">
        <v>123</v>
      </c>
      <c r="G229" s="5" t="s">
        <v>50</v>
      </c>
      <c r="H229" s="5" t="s">
        <v>9</v>
      </c>
      <c r="I229" s="63" t="s">
        <v>9</v>
      </c>
      <c r="J229" s="63" t="s">
        <v>1355</v>
      </c>
      <c r="K229" s="63" t="s">
        <v>1356</v>
      </c>
      <c r="L229" s="63" t="s">
        <v>112</v>
      </c>
      <c r="M229" s="63" t="s">
        <v>112</v>
      </c>
      <c r="N229" s="63" t="s">
        <v>112</v>
      </c>
      <c r="O229" s="64" t="s">
        <v>130</v>
      </c>
      <c r="P229" s="139" t="s">
        <v>1363</v>
      </c>
      <c r="Q229" s="63" t="s">
        <v>1364</v>
      </c>
      <c r="R229" s="64" t="s">
        <v>1365</v>
      </c>
      <c r="S229" s="65" t="s">
        <v>1366</v>
      </c>
      <c r="T229" s="64">
        <v>0.8</v>
      </c>
      <c r="U229" s="64" t="s">
        <v>116</v>
      </c>
      <c r="V229" s="64">
        <v>0.8</v>
      </c>
      <c r="W229" s="64">
        <v>6.6</v>
      </c>
      <c r="X229" s="125"/>
      <c r="Y229" s="64">
        <v>10000</v>
      </c>
      <c r="Z229" s="8" t="s">
        <v>117</v>
      </c>
      <c r="AA229" s="5" t="s">
        <v>42</v>
      </c>
      <c r="AB229" s="5" t="s">
        <v>1290</v>
      </c>
      <c r="AC229" s="67"/>
      <c r="AD229" s="63"/>
      <c r="AE229" s="64" t="s">
        <v>9</v>
      </c>
      <c r="AF229" s="68"/>
      <c r="AG229" s="63"/>
      <c r="AH229" s="64"/>
      <c r="AI229" s="8" t="s">
        <v>2</v>
      </c>
      <c r="AJ229" s="9" t="s">
        <v>1520</v>
      </c>
      <c r="AK229" s="68"/>
      <c r="AL229" s="65"/>
      <c r="AM229" s="65"/>
      <c r="AN229" s="68"/>
      <c r="AO229" s="69"/>
    </row>
    <row r="230" spans="1:41" x14ac:dyDescent="0.45">
      <c r="A230" s="35" t="s">
        <v>1367</v>
      </c>
      <c r="B230" s="61">
        <v>46054</v>
      </c>
      <c r="C230" s="62">
        <v>2026</v>
      </c>
      <c r="D230" s="63" t="s">
        <v>105</v>
      </c>
      <c r="E230" s="63" t="s">
        <v>24</v>
      </c>
      <c r="F230" s="63" t="s">
        <v>895</v>
      </c>
      <c r="G230" s="5" t="s">
        <v>895</v>
      </c>
      <c r="H230" s="5" t="s">
        <v>9</v>
      </c>
      <c r="I230" s="63" t="s">
        <v>9</v>
      </c>
      <c r="J230" s="63" t="s">
        <v>1368</v>
      </c>
      <c r="K230" s="63" t="s">
        <v>1369</v>
      </c>
      <c r="L230" s="63" t="s">
        <v>112</v>
      </c>
      <c r="M230" s="63" t="s">
        <v>112</v>
      </c>
      <c r="N230" s="63" t="s">
        <v>112</v>
      </c>
      <c r="O230" s="64" t="s">
        <v>112</v>
      </c>
      <c r="P230" s="64" t="s">
        <v>112</v>
      </c>
      <c r="Q230" s="63" t="s">
        <v>1370</v>
      </c>
      <c r="R230" s="64" t="s">
        <v>1371</v>
      </c>
      <c r="S230" s="65" t="s">
        <v>1571</v>
      </c>
      <c r="T230" s="64" t="s">
        <v>112</v>
      </c>
      <c r="U230" s="64"/>
      <c r="V230" s="64"/>
      <c r="W230" s="64"/>
      <c r="X230" s="125"/>
      <c r="Y230" s="64">
        <v>19000000</v>
      </c>
      <c r="Z230" s="8" t="s">
        <v>117</v>
      </c>
      <c r="AA230" s="5" t="s">
        <v>1372</v>
      </c>
      <c r="AB230" s="5" t="s">
        <v>965</v>
      </c>
      <c r="AC230" s="67"/>
      <c r="AD230" s="63"/>
      <c r="AE230" s="64" t="s">
        <v>9</v>
      </c>
      <c r="AF230" s="68"/>
      <c r="AG230" s="63"/>
      <c r="AH230" s="64"/>
      <c r="AI230" s="8" t="s">
        <v>1</v>
      </c>
      <c r="AJ230" s="9"/>
      <c r="AK230" s="68">
        <v>46100</v>
      </c>
      <c r="AL230" s="65" t="s">
        <v>323</v>
      </c>
      <c r="AM230" s="65" t="s">
        <v>17</v>
      </c>
      <c r="AN230" s="68">
        <v>46105</v>
      </c>
      <c r="AO230" s="69"/>
    </row>
    <row r="231" spans="1:41" x14ac:dyDescent="0.45">
      <c r="A231" s="35" t="s">
        <v>1373</v>
      </c>
      <c r="B231" s="61">
        <v>46054</v>
      </c>
      <c r="C231" s="62">
        <v>2026</v>
      </c>
      <c r="D231" s="63" t="s">
        <v>105</v>
      </c>
      <c r="E231" s="63" t="s">
        <v>24</v>
      </c>
      <c r="F231" s="63" t="s">
        <v>895</v>
      </c>
      <c r="G231" s="5" t="s">
        <v>895</v>
      </c>
      <c r="H231" s="5" t="s">
        <v>9</v>
      </c>
      <c r="I231" s="63" t="s">
        <v>9</v>
      </c>
      <c r="J231" s="63" t="s">
        <v>1368</v>
      </c>
      <c r="K231" s="63" t="s">
        <v>1369</v>
      </c>
      <c r="L231" s="63" t="s">
        <v>112</v>
      </c>
      <c r="M231" s="63" t="s">
        <v>112</v>
      </c>
      <c r="N231" s="63" t="s">
        <v>112</v>
      </c>
      <c r="O231" s="64" t="s">
        <v>112</v>
      </c>
      <c r="P231" s="64" t="s">
        <v>112</v>
      </c>
      <c r="Q231" s="63" t="s">
        <v>1374</v>
      </c>
      <c r="R231" s="64" t="s">
        <v>1375</v>
      </c>
      <c r="S231" s="65" t="s">
        <v>1572</v>
      </c>
      <c r="T231" s="64" t="s">
        <v>112</v>
      </c>
      <c r="U231" s="64"/>
      <c r="V231" s="64"/>
      <c r="W231" s="64"/>
      <c r="X231" s="125"/>
      <c r="Y231" s="64">
        <v>1000000</v>
      </c>
      <c r="Z231" s="8" t="s">
        <v>117</v>
      </c>
      <c r="AA231" s="5" t="s">
        <v>1372</v>
      </c>
      <c r="AB231" s="5" t="s">
        <v>965</v>
      </c>
      <c r="AC231" s="67"/>
      <c r="AD231" s="63"/>
      <c r="AE231" s="64" t="s">
        <v>9</v>
      </c>
      <c r="AF231" s="68"/>
      <c r="AG231" s="63"/>
      <c r="AH231" s="64"/>
      <c r="AI231" s="8" t="s">
        <v>1</v>
      </c>
      <c r="AJ231" s="9"/>
      <c r="AK231" s="68">
        <v>46100</v>
      </c>
      <c r="AL231" s="65" t="s">
        <v>323</v>
      </c>
      <c r="AM231" s="65" t="s">
        <v>17</v>
      </c>
      <c r="AN231" s="68">
        <v>46105</v>
      </c>
      <c r="AO231" s="69"/>
    </row>
    <row r="232" spans="1:41" x14ac:dyDescent="0.45">
      <c r="A232" s="35" t="s">
        <v>1376</v>
      </c>
      <c r="B232" s="61">
        <v>46054</v>
      </c>
      <c r="C232" s="62">
        <v>2026</v>
      </c>
      <c r="D232" s="63" t="s">
        <v>105</v>
      </c>
      <c r="E232" s="63" t="s">
        <v>24</v>
      </c>
      <c r="F232" s="63" t="s">
        <v>895</v>
      </c>
      <c r="G232" s="5" t="s">
        <v>895</v>
      </c>
      <c r="H232" s="5" t="s">
        <v>9</v>
      </c>
      <c r="I232" s="63" t="s">
        <v>9</v>
      </c>
      <c r="J232" s="63" t="s">
        <v>1368</v>
      </c>
      <c r="K232" s="63" t="s">
        <v>1369</v>
      </c>
      <c r="L232" s="63" t="s">
        <v>112</v>
      </c>
      <c r="M232" s="63" t="s">
        <v>112</v>
      </c>
      <c r="N232" s="63" t="s">
        <v>112</v>
      </c>
      <c r="O232" s="64" t="s">
        <v>112</v>
      </c>
      <c r="P232" s="64" t="s">
        <v>112</v>
      </c>
      <c r="Q232" s="63" t="s">
        <v>1377</v>
      </c>
      <c r="R232" s="64" t="s">
        <v>1378</v>
      </c>
      <c r="S232" s="65" t="s">
        <v>1573</v>
      </c>
      <c r="T232" s="64" t="s">
        <v>112</v>
      </c>
      <c r="U232" s="64"/>
      <c r="V232" s="64"/>
      <c r="W232" s="64"/>
      <c r="X232" s="125"/>
      <c r="Y232" s="64">
        <v>1000000</v>
      </c>
      <c r="Z232" s="8" t="s">
        <v>117</v>
      </c>
      <c r="AA232" s="5" t="s">
        <v>1372</v>
      </c>
      <c r="AB232" s="5" t="s">
        <v>965</v>
      </c>
      <c r="AC232" s="67"/>
      <c r="AD232" s="63"/>
      <c r="AE232" s="64" t="s">
        <v>9</v>
      </c>
      <c r="AF232" s="68"/>
      <c r="AG232" s="63"/>
      <c r="AH232" s="64"/>
      <c r="AI232" s="8" t="s">
        <v>1</v>
      </c>
      <c r="AJ232" s="9"/>
      <c r="AK232" s="68">
        <v>46100</v>
      </c>
      <c r="AL232" s="65" t="s">
        <v>323</v>
      </c>
      <c r="AM232" s="65" t="s">
        <v>17</v>
      </c>
      <c r="AN232" s="68">
        <v>46105</v>
      </c>
      <c r="AO232" s="69"/>
    </row>
    <row r="233" spans="1:41" x14ac:dyDescent="0.45">
      <c r="A233" s="35" t="s">
        <v>1379</v>
      </c>
      <c r="B233" s="61">
        <v>46054</v>
      </c>
      <c r="C233" s="62">
        <v>2026</v>
      </c>
      <c r="D233" s="63" t="s">
        <v>105</v>
      </c>
      <c r="E233" s="63" t="s">
        <v>24</v>
      </c>
      <c r="F233" s="63" t="s">
        <v>895</v>
      </c>
      <c r="G233" s="5" t="s">
        <v>895</v>
      </c>
      <c r="H233" s="5" t="s">
        <v>9</v>
      </c>
      <c r="I233" s="63" t="s">
        <v>9</v>
      </c>
      <c r="J233" s="63" t="s">
        <v>1368</v>
      </c>
      <c r="K233" s="63" t="s">
        <v>1369</v>
      </c>
      <c r="L233" s="63" t="s">
        <v>112</v>
      </c>
      <c r="M233" s="63" t="s">
        <v>112</v>
      </c>
      <c r="N233" s="63" t="s">
        <v>112</v>
      </c>
      <c r="O233" s="64" t="s">
        <v>112</v>
      </c>
      <c r="P233" s="64" t="s">
        <v>112</v>
      </c>
      <c r="Q233" s="63" t="s">
        <v>1380</v>
      </c>
      <c r="R233" s="64" t="s">
        <v>1381</v>
      </c>
      <c r="S233" s="65" t="s">
        <v>1574</v>
      </c>
      <c r="T233" s="64" t="s">
        <v>112</v>
      </c>
      <c r="U233" s="64"/>
      <c r="V233" s="64"/>
      <c r="W233" s="64"/>
      <c r="X233" s="125"/>
      <c r="Y233" s="64">
        <v>1000000</v>
      </c>
      <c r="Z233" s="8" t="s">
        <v>117</v>
      </c>
      <c r="AA233" s="5" t="s">
        <v>1372</v>
      </c>
      <c r="AB233" s="5" t="s">
        <v>965</v>
      </c>
      <c r="AC233" s="67"/>
      <c r="AD233" s="63"/>
      <c r="AE233" s="64" t="s">
        <v>9</v>
      </c>
      <c r="AF233" s="68"/>
      <c r="AG233" s="63"/>
      <c r="AH233" s="64"/>
      <c r="AI233" s="8" t="s">
        <v>1</v>
      </c>
      <c r="AJ233" s="9"/>
      <c r="AK233" s="68">
        <v>46100</v>
      </c>
      <c r="AL233" s="65" t="s">
        <v>323</v>
      </c>
      <c r="AM233" s="65" t="s">
        <v>17</v>
      </c>
      <c r="AN233" s="68">
        <v>46105</v>
      </c>
      <c r="AO233" s="69"/>
    </row>
    <row r="234" spans="1:41" x14ac:dyDescent="0.45">
      <c r="A234" s="35" t="s">
        <v>1382</v>
      </c>
      <c r="B234" s="61">
        <v>46054</v>
      </c>
      <c r="C234" s="62">
        <v>2026</v>
      </c>
      <c r="D234" s="63" t="s">
        <v>105</v>
      </c>
      <c r="E234" s="63" t="s">
        <v>24</v>
      </c>
      <c r="F234" s="63" t="s">
        <v>895</v>
      </c>
      <c r="G234" s="5" t="s">
        <v>895</v>
      </c>
      <c r="H234" s="5" t="s">
        <v>9</v>
      </c>
      <c r="I234" s="63" t="s">
        <v>9</v>
      </c>
      <c r="J234" s="63" t="s">
        <v>1383</v>
      </c>
      <c r="K234" s="63" t="s">
        <v>1384</v>
      </c>
      <c r="L234" s="63" t="s">
        <v>112</v>
      </c>
      <c r="M234" s="63" t="s">
        <v>112</v>
      </c>
      <c r="N234" s="63" t="s">
        <v>112</v>
      </c>
      <c r="O234" s="64" t="s">
        <v>1339</v>
      </c>
      <c r="P234" s="139" t="s">
        <v>1385</v>
      </c>
      <c r="Q234" s="63" t="s">
        <v>1386</v>
      </c>
      <c r="R234" s="64" t="s">
        <v>1387</v>
      </c>
      <c r="S234" s="65" t="s">
        <v>1575</v>
      </c>
      <c r="T234" s="64">
        <v>11.5</v>
      </c>
      <c r="U234" s="64" t="s">
        <v>412</v>
      </c>
      <c r="V234" s="64">
        <v>1.67</v>
      </c>
      <c r="W234" s="64"/>
      <c r="X234" s="125"/>
      <c r="Y234" s="64">
        <v>100000</v>
      </c>
      <c r="Z234" s="8" t="s">
        <v>117</v>
      </c>
      <c r="AA234" s="5" t="s">
        <v>42</v>
      </c>
      <c r="AB234" s="5" t="s">
        <v>965</v>
      </c>
      <c r="AC234" s="67"/>
      <c r="AD234" s="63"/>
      <c r="AE234" s="64" t="s">
        <v>9</v>
      </c>
      <c r="AF234" s="68"/>
      <c r="AG234" s="63"/>
      <c r="AH234" s="64"/>
      <c r="AI234" s="8" t="s">
        <v>1</v>
      </c>
      <c r="AJ234" s="9"/>
      <c r="AK234" s="68">
        <v>46100</v>
      </c>
      <c r="AL234" s="65" t="s">
        <v>323</v>
      </c>
      <c r="AM234" s="65" t="s">
        <v>17</v>
      </c>
      <c r="AN234" s="68">
        <v>46105</v>
      </c>
      <c r="AO234" s="69"/>
    </row>
    <row r="235" spans="1:41" x14ac:dyDescent="0.45">
      <c r="A235" s="35" t="s">
        <v>1388</v>
      </c>
      <c r="B235" s="61">
        <v>46054</v>
      </c>
      <c r="C235" s="62">
        <v>2026</v>
      </c>
      <c r="D235" s="63" t="s">
        <v>105</v>
      </c>
      <c r="E235" s="63" t="s">
        <v>24</v>
      </c>
      <c r="F235" s="63" t="s">
        <v>895</v>
      </c>
      <c r="G235" s="5" t="s">
        <v>895</v>
      </c>
      <c r="H235" s="5" t="s">
        <v>9</v>
      </c>
      <c r="I235" s="63" t="s">
        <v>9</v>
      </c>
      <c r="J235" s="63" t="s">
        <v>1389</v>
      </c>
      <c r="K235" s="63" t="s">
        <v>1390</v>
      </c>
      <c r="L235" s="63" t="s">
        <v>112</v>
      </c>
      <c r="M235" s="63" t="s">
        <v>112</v>
      </c>
      <c r="N235" s="63" t="s">
        <v>112</v>
      </c>
      <c r="O235" s="64" t="s">
        <v>1397</v>
      </c>
      <c r="P235" s="64" t="s">
        <v>112</v>
      </c>
      <c r="Q235" s="63" t="s">
        <v>1391</v>
      </c>
      <c r="R235" s="64" t="s">
        <v>1392</v>
      </c>
      <c r="S235" s="65" t="s">
        <v>1576</v>
      </c>
      <c r="T235" s="64">
        <v>30</v>
      </c>
      <c r="U235" s="64" t="s">
        <v>412</v>
      </c>
      <c r="V235" s="64">
        <v>4.3600000000000003</v>
      </c>
      <c r="W235" s="64"/>
      <c r="X235" s="125"/>
      <c r="Y235" s="64">
        <v>12000</v>
      </c>
      <c r="Z235" s="8" t="s">
        <v>117</v>
      </c>
      <c r="AA235" s="5" t="s">
        <v>42</v>
      </c>
      <c r="AB235" s="5" t="s">
        <v>965</v>
      </c>
      <c r="AC235" s="67"/>
      <c r="AD235" s="63"/>
      <c r="AE235" s="64" t="s">
        <v>9</v>
      </c>
      <c r="AF235" s="68"/>
      <c r="AG235" s="63"/>
      <c r="AH235" s="64"/>
      <c r="AI235" s="8" t="s">
        <v>1</v>
      </c>
      <c r="AJ235" s="9"/>
      <c r="AK235" s="68">
        <v>46100</v>
      </c>
      <c r="AL235" s="65" t="s">
        <v>323</v>
      </c>
      <c r="AM235" s="65" t="s">
        <v>17</v>
      </c>
      <c r="AN235" s="68">
        <v>46105</v>
      </c>
      <c r="AO235" s="69"/>
    </row>
    <row r="236" spans="1:41" x14ac:dyDescent="0.45">
      <c r="A236" s="35" t="s">
        <v>1443</v>
      </c>
      <c r="B236" s="6">
        <v>46082</v>
      </c>
      <c r="C236" s="7">
        <v>2026</v>
      </c>
      <c r="D236" s="5" t="s">
        <v>105</v>
      </c>
      <c r="E236" s="5" t="s">
        <v>25</v>
      </c>
      <c r="F236" s="5" t="s">
        <v>25</v>
      </c>
      <c r="G236" s="5" t="s">
        <v>1401</v>
      </c>
      <c r="H236" s="5" t="s">
        <v>9</v>
      </c>
      <c r="I236" s="140" t="s">
        <v>9</v>
      </c>
      <c r="J236" s="5" t="s">
        <v>1402</v>
      </c>
      <c r="K236" s="5" t="s">
        <v>1403</v>
      </c>
      <c r="L236" s="5" t="s">
        <v>1404</v>
      </c>
      <c r="M236" s="5" t="s">
        <v>1405</v>
      </c>
      <c r="N236" s="5" t="s">
        <v>112</v>
      </c>
      <c r="O236" s="8" t="s">
        <v>1406</v>
      </c>
      <c r="P236" s="141" t="s">
        <v>112</v>
      </c>
      <c r="Q236" s="5" t="s">
        <v>1577</v>
      </c>
      <c r="R236" s="142" t="s">
        <v>1407</v>
      </c>
      <c r="S236" s="9" t="s">
        <v>1408</v>
      </c>
      <c r="T236" s="8" t="s">
        <v>112</v>
      </c>
      <c r="U236" s="8"/>
      <c r="V236" s="8" t="s">
        <v>112</v>
      </c>
      <c r="W236" s="8"/>
      <c r="X236" s="10"/>
      <c r="Y236" s="143">
        <v>11452</v>
      </c>
      <c r="Z236" s="8" t="s">
        <v>117</v>
      </c>
      <c r="AA236" s="5" t="s">
        <v>42</v>
      </c>
      <c r="AB236" s="5" t="s">
        <v>222</v>
      </c>
      <c r="AC236" s="12"/>
      <c r="AD236" s="5"/>
      <c r="AE236" s="8" t="s">
        <v>9</v>
      </c>
      <c r="AF236" s="11"/>
      <c r="AG236" s="5"/>
      <c r="AH236" s="8"/>
      <c r="AI236" s="8" t="s">
        <v>2</v>
      </c>
      <c r="AJ236" s="9" t="s">
        <v>1520</v>
      </c>
      <c r="AK236" s="11"/>
      <c r="AL236" s="9"/>
      <c r="AM236" s="9"/>
      <c r="AN236" s="11"/>
      <c r="AO236" s="38"/>
    </row>
    <row r="237" spans="1:41" x14ac:dyDescent="0.45">
      <c r="A237" s="35" t="s">
        <v>1444</v>
      </c>
      <c r="B237" s="6">
        <v>46082</v>
      </c>
      <c r="C237" s="7">
        <v>2026</v>
      </c>
      <c r="D237" s="5" t="s">
        <v>105</v>
      </c>
      <c r="E237" s="5" t="s">
        <v>25</v>
      </c>
      <c r="F237" s="5" t="s">
        <v>25</v>
      </c>
      <c r="G237" s="5" t="s">
        <v>1401</v>
      </c>
      <c r="H237" s="5" t="s">
        <v>9</v>
      </c>
      <c r="I237" s="140" t="s">
        <v>9</v>
      </c>
      <c r="J237" s="5" t="s">
        <v>1402</v>
      </c>
      <c r="K237" s="5" t="s">
        <v>1403</v>
      </c>
      <c r="L237" s="5" t="s">
        <v>1404</v>
      </c>
      <c r="M237" s="5" t="s">
        <v>1405</v>
      </c>
      <c r="N237" s="5" t="s">
        <v>112</v>
      </c>
      <c r="O237" s="8" t="s">
        <v>1409</v>
      </c>
      <c r="P237" s="141" t="s">
        <v>112</v>
      </c>
      <c r="Q237" s="5" t="s">
        <v>1578</v>
      </c>
      <c r="R237" s="142" t="s">
        <v>1410</v>
      </c>
      <c r="S237" s="9" t="s">
        <v>1411</v>
      </c>
      <c r="T237" s="8" t="s">
        <v>112</v>
      </c>
      <c r="U237" s="8"/>
      <c r="V237" s="8" t="s">
        <v>112</v>
      </c>
      <c r="W237" s="8"/>
      <c r="X237" s="10"/>
      <c r="Y237" s="143">
        <v>13375</v>
      </c>
      <c r="Z237" s="8" t="s">
        <v>117</v>
      </c>
      <c r="AA237" s="5" t="s">
        <v>42</v>
      </c>
      <c r="AB237" s="5" t="s">
        <v>222</v>
      </c>
      <c r="AC237" s="12"/>
      <c r="AD237" s="5"/>
      <c r="AE237" s="8" t="s">
        <v>9</v>
      </c>
      <c r="AF237" s="11"/>
      <c r="AG237" s="5"/>
      <c r="AH237" s="8"/>
      <c r="AI237" s="8" t="s">
        <v>2</v>
      </c>
      <c r="AJ237" s="9" t="s">
        <v>1520</v>
      </c>
      <c r="AK237" s="11"/>
      <c r="AL237" s="9"/>
      <c r="AM237" s="9"/>
      <c r="AN237" s="11"/>
      <c r="AO237" s="38"/>
    </row>
    <row r="238" spans="1:41" x14ac:dyDescent="0.45">
      <c r="A238" s="35" t="s">
        <v>1445</v>
      </c>
      <c r="B238" s="6">
        <v>46082</v>
      </c>
      <c r="C238" s="7">
        <v>2026</v>
      </c>
      <c r="D238" s="5" t="s">
        <v>105</v>
      </c>
      <c r="E238" s="5" t="s">
        <v>25</v>
      </c>
      <c r="F238" s="5" t="s">
        <v>25</v>
      </c>
      <c r="G238" s="5" t="s">
        <v>1401</v>
      </c>
      <c r="H238" s="5" t="s">
        <v>9</v>
      </c>
      <c r="I238" s="140" t="s">
        <v>9</v>
      </c>
      <c r="J238" s="5" t="s">
        <v>1402</v>
      </c>
      <c r="K238" s="5" t="s">
        <v>1403</v>
      </c>
      <c r="L238" s="5" t="s">
        <v>1404</v>
      </c>
      <c r="M238" s="5" t="s">
        <v>1405</v>
      </c>
      <c r="N238" s="5" t="s">
        <v>112</v>
      </c>
      <c r="O238" s="8" t="s">
        <v>1412</v>
      </c>
      <c r="P238" s="141" t="s">
        <v>112</v>
      </c>
      <c r="Q238" s="5" t="s">
        <v>1579</v>
      </c>
      <c r="R238" s="142" t="s">
        <v>1413</v>
      </c>
      <c r="S238" s="9" t="s">
        <v>1414</v>
      </c>
      <c r="T238" s="8" t="s">
        <v>112</v>
      </c>
      <c r="U238" s="8"/>
      <c r="V238" s="8" t="s">
        <v>112</v>
      </c>
      <c r="W238" s="8"/>
      <c r="X238" s="10"/>
      <c r="Y238" s="143">
        <v>11852</v>
      </c>
      <c r="Z238" s="8" t="s">
        <v>117</v>
      </c>
      <c r="AA238" s="5" t="s">
        <v>42</v>
      </c>
      <c r="AB238" s="5" t="s">
        <v>222</v>
      </c>
      <c r="AC238" s="12"/>
      <c r="AD238" s="5"/>
      <c r="AE238" s="8" t="s">
        <v>9</v>
      </c>
      <c r="AF238" s="11"/>
      <c r="AG238" s="5"/>
      <c r="AH238" s="8"/>
      <c r="AI238" s="8" t="s">
        <v>2</v>
      </c>
      <c r="AJ238" s="9" t="s">
        <v>1520</v>
      </c>
      <c r="AK238" s="11"/>
      <c r="AL238" s="9"/>
      <c r="AM238" s="9"/>
      <c r="AN238" s="11"/>
      <c r="AO238" s="38"/>
    </row>
    <row r="239" spans="1:41" x14ac:dyDescent="0.45">
      <c r="A239" s="35" t="s">
        <v>1446</v>
      </c>
      <c r="B239" s="6">
        <v>46082</v>
      </c>
      <c r="C239" s="7">
        <v>2026</v>
      </c>
      <c r="D239" s="5" t="s">
        <v>105</v>
      </c>
      <c r="E239" s="5" t="s">
        <v>25</v>
      </c>
      <c r="F239" s="5" t="s">
        <v>25</v>
      </c>
      <c r="G239" s="5" t="s">
        <v>1401</v>
      </c>
      <c r="H239" s="5" t="s">
        <v>9</v>
      </c>
      <c r="I239" s="140" t="s">
        <v>9</v>
      </c>
      <c r="J239" s="5" t="s">
        <v>1402</v>
      </c>
      <c r="K239" s="5" t="s">
        <v>1403</v>
      </c>
      <c r="L239" s="5" t="s">
        <v>1404</v>
      </c>
      <c r="M239" s="5" t="s">
        <v>1405</v>
      </c>
      <c r="N239" s="5" t="s">
        <v>112</v>
      </c>
      <c r="O239" s="8" t="s">
        <v>1415</v>
      </c>
      <c r="P239" s="141" t="s">
        <v>112</v>
      </c>
      <c r="Q239" s="5" t="s">
        <v>1580</v>
      </c>
      <c r="R239" s="142" t="s">
        <v>1416</v>
      </c>
      <c r="S239" s="9" t="s">
        <v>1417</v>
      </c>
      <c r="T239" s="8" t="s">
        <v>112</v>
      </c>
      <c r="U239" s="8"/>
      <c r="V239" s="8" t="s">
        <v>112</v>
      </c>
      <c r="W239" s="8"/>
      <c r="X239" s="10"/>
      <c r="Y239" s="143">
        <v>11545</v>
      </c>
      <c r="Z239" s="8" t="s">
        <v>117</v>
      </c>
      <c r="AA239" s="5" t="s">
        <v>42</v>
      </c>
      <c r="AB239" s="5" t="s">
        <v>222</v>
      </c>
      <c r="AC239" s="12"/>
      <c r="AD239" s="5"/>
      <c r="AE239" s="8" t="s">
        <v>9</v>
      </c>
      <c r="AF239" s="11"/>
      <c r="AG239" s="5"/>
      <c r="AH239" s="8"/>
      <c r="AI239" s="8" t="s">
        <v>2</v>
      </c>
      <c r="AJ239" s="9" t="s">
        <v>1520</v>
      </c>
      <c r="AK239" s="11"/>
      <c r="AL239" s="9"/>
      <c r="AM239" s="9"/>
      <c r="AN239" s="11"/>
      <c r="AO239" s="38"/>
    </row>
    <row r="240" spans="1:41" x14ac:dyDescent="0.45">
      <c r="A240" s="35" t="s">
        <v>1447</v>
      </c>
      <c r="B240" s="6">
        <v>46082</v>
      </c>
      <c r="C240" s="7">
        <v>2026</v>
      </c>
      <c r="D240" s="5" t="s">
        <v>105</v>
      </c>
      <c r="E240" s="5" t="s">
        <v>25</v>
      </c>
      <c r="F240" s="5" t="s">
        <v>25</v>
      </c>
      <c r="G240" s="5" t="s">
        <v>1401</v>
      </c>
      <c r="H240" s="5" t="s">
        <v>9</v>
      </c>
      <c r="I240" s="140" t="s">
        <v>9</v>
      </c>
      <c r="J240" s="5" t="s">
        <v>1402</v>
      </c>
      <c r="K240" s="5" t="s">
        <v>1403</v>
      </c>
      <c r="L240" s="5" t="s">
        <v>1404</v>
      </c>
      <c r="M240" s="5" t="s">
        <v>1405</v>
      </c>
      <c r="N240" s="5" t="s">
        <v>112</v>
      </c>
      <c r="O240" s="8" t="s">
        <v>446</v>
      </c>
      <c r="P240" s="141" t="s">
        <v>112</v>
      </c>
      <c r="Q240" s="5" t="s">
        <v>1581</v>
      </c>
      <c r="R240" s="142" t="s">
        <v>1418</v>
      </c>
      <c r="S240" s="9" t="s">
        <v>446</v>
      </c>
      <c r="T240" s="8" t="s">
        <v>112</v>
      </c>
      <c r="U240" s="8"/>
      <c r="V240" s="8" t="s">
        <v>112</v>
      </c>
      <c r="W240" s="8"/>
      <c r="X240" s="10"/>
      <c r="Y240" s="143">
        <v>19629</v>
      </c>
      <c r="Z240" s="8" t="s">
        <v>117</v>
      </c>
      <c r="AA240" s="5" t="s">
        <v>42</v>
      </c>
      <c r="AB240" s="5" t="s">
        <v>222</v>
      </c>
      <c r="AC240" s="12"/>
      <c r="AD240" s="5"/>
      <c r="AE240" s="8" t="s">
        <v>9</v>
      </c>
      <c r="AF240" s="11"/>
      <c r="AG240" s="5"/>
      <c r="AH240" s="8"/>
      <c r="AI240" s="8" t="s">
        <v>2</v>
      </c>
      <c r="AJ240" s="9" t="s">
        <v>1520</v>
      </c>
      <c r="AK240" s="11"/>
      <c r="AL240" s="9"/>
      <c r="AM240" s="9"/>
      <c r="AN240" s="11"/>
      <c r="AO240" s="38"/>
    </row>
    <row r="241" spans="1:41" x14ac:dyDescent="0.45">
      <c r="A241" s="35" t="s">
        <v>1448</v>
      </c>
      <c r="B241" s="6">
        <v>46082</v>
      </c>
      <c r="C241" s="7">
        <v>2026</v>
      </c>
      <c r="D241" s="5" t="s">
        <v>105</v>
      </c>
      <c r="E241" s="5" t="s">
        <v>25</v>
      </c>
      <c r="F241" s="5" t="s">
        <v>25</v>
      </c>
      <c r="G241" s="5" t="s">
        <v>1401</v>
      </c>
      <c r="H241" s="5" t="s">
        <v>9</v>
      </c>
      <c r="I241" s="140" t="s">
        <v>9</v>
      </c>
      <c r="J241" s="5" t="s">
        <v>1402</v>
      </c>
      <c r="K241" s="5" t="s">
        <v>1403</v>
      </c>
      <c r="L241" s="5" t="s">
        <v>1404</v>
      </c>
      <c r="M241" s="5" t="s">
        <v>1405</v>
      </c>
      <c r="N241" s="5" t="s">
        <v>112</v>
      </c>
      <c r="O241" s="8" t="s">
        <v>770</v>
      </c>
      <c r="P241" s="141" t="s">
        <v>112</v>
      </c>
      <c r="Q241" s="5" t="s">
        <v>1582</v>
      </c>
      <c r="R241" s="142" t="s">
        <v>1419</v>
      </c>
      <c r="S241" s="9" t="s">
        <v>770</v>
      </c>
      <c r="T241" s="8" t="s">
        <v>112</v>
      </c>
      <c r="U241" s="8"/>
      <c r="V241" s="8" t="s">
        <v>112</v>
      </c>
      <c r="W241" s="8"/>
      <c r="X241" s="10"/>
      <c r="Y241" s="143">
        <v>15029</v>
      </c>
      <c r="Z241" s="8" t="s">
        <v>117</v>
      </c>
      <c r="AA241" s="5" t="s">
        <v>42</v>
      </c>
      <c r="AB241" s="5" t="s">
        <v>222</v>
      </c>
      <c r="AC241" s="12"/>
      <c r="AD241" s="5"/>
      <c r="AE241" s="8" t="s">
        <v>9</v>
      </c>
      <c r="AF241" s="11"/>
      <c r="AG241" s="5"/>
      <c r="AH241" s="8"/>
      <c r="AI241" s="8" t="s">
        <v>2</v>
      </c>
      <c r="AJ241" s="9" t="s">
        <v>1520</v>
      </c>
      <c r="AK241" s="11"/>
      <c r="AL241" s="9"/>
      <c r="AM241" s="9"/>
      <c r="AN241" s="11"/>
      <c r="AO241" s="38"/>
    </row>
    <row r="242" spans="1:41" x14ac:dyDescent="0.45">
      <c r="A242" s="35" t="s">
        <v>1449</v>
      </c>
      <c r="B242" s="6">
        <v>46082</v>
      </c>
      <c r="C242" s="7">
        <v>2026</v>
      </c>
      <c r="D242" s="5" t="s">
        <v>105</v>
      </c>
      <c r="E242" s="5" t="s">
        <v>25</v>
      </c>
      <c r="F242" s="5" t="s">
        <v>25</v>
      </c>
      <c r="G242" s="5" t="s">
        <v>1401</v>
      </c>
      <c r="H242" s="5" t="s">
        <v>9</v>
      </c>
      <c r="I242" s="140" t="s">
        <v>9</v>
      </c>
      <c r="J242" s="5" t="s">
        <v>1402</v>
      </c>
      <c r="K242" s="5" t="s">
        <v>1403</v>
      </c>
      <c r="L242" s="5" t="s">
        <v>1404</v>
      </c>
      <c r="M242" s="5" t="s">
        <v>1405</v>
      </c>
      <c r="N242" s="5" t="s">
        <v>112</v>
      </c>
      <c r="O242" s="8" t="s">
        <v>400</v>
      </c>
      <c r="P242" s="141" t="s">
        <v>112</v>
      </c>
      <c r="Q242" s="5" t="s">
        <v>1583</v>
      </c>
      <c r="R242" s="142" t="s">
        <v>1420</v>
      </c>
      <c r="S242" s="9" t="s">
        <v>1421</v>
      </c>
      <c r="T242" s="8" t="s">
        <v>112</v>
      </c>
      <c r="U242" s="8"/>
      <c r="V242" s="8" t="s">
        <v>112</v>
      </c>
      <c r="W242" s="8"/>
      <c r="X242" s="10"/>
      <c r="Y242" s="143">
        <v>24292</v>
      </c>
      <c r="Z242" s="8" t="s">
        <v>117</v>
      </c>
      <c r="AA242" s="5" t="s">
        <v>42</v>
      </c>
      <c r="AB242" s="5" t="s">
        <v>222</v>
      </c>
      <c r="AC242" s="12"/>
      <c r="AD242" s="5"/>
      <c r="AE242" s="8" t="s">
        <v>9</v>
      </c>
      <c r="AF242" s="11"/>
      <c r="AG242" s="5"/>
      <c r="AH242" s="8"/>
      <c r="AI242" s="8" t="s">
        <v>2</v>
      </c>
      <c r="AJ242" s="9" t="s">
        <v>1520</v>
      </c>
      <c r="AK242" s="11"/>
      <c r="AL242" s="9"/>
      <c r="AM242" s="9"/>
      <c r="AN242" s="11"/>
      <c r="AO242" s="38"/>
    </row>
    <row r="243" spans="1:41" x14ac:dyDescent="0.45">
      <c r="A243" s="35" t="s">
        <v>1450</v>
      </c>
      <c r="B243" s="6">
        <v>46082</v>
      </c>
      <c r="C243" s="7">
        <v>2026</v>
      </c>
      <c r="D243" s="5" t="s">
        <v>105</v>
      </c>
      <c r="E243" s="5" t="s">
        <v>25</v>
      </c>
      <c r="F243" s="5" t="s">
        <v>25</v>
      </c>
      <c r="G243" s="5" t="s">
        <v>1401</v>
      </c>
      <c r="H243" s="5" t="s">
        <v>9</v>
      </c>
      <c r="I243" s="140" t="s">
        <v>9</v>
      </c>
      <c r="J243" s="5" t="s">
        <v>1402</v>
      </c>
      <c r="K243" s="5" t="s">
        <v>1403</v>
      </c>
      <c r="L243" s="5" t="s">
        <v>1404</v>
      </c>
      <c r="M243" s="5" t="s">
        <v>1405</v>
      </c>
      <c r="N243" s="5" t="s">
        <v>112</v>
      </c>
      <c r="O243" s="8" t="s">
        <v>400</v>
      </c>
      <c r="P243" s="141" t="s">
        <v>112</v>
      </c>
      <c r="Q243" s="5" t="s">
        <v>1584</v>
      </c>
      <c r="R243" s="142" t="s">
        <v>1422</v>
      </c>
      <c r="S243" s="9" t="s">
        <v>1423</v>
      </c>
      <c r="T243" s="8" t="s">
        <v>112</v>
      </c>
      <c r="U243" s="8"/>
      <c r="V243" s="8" t="s">
        <v>112</v>
      </c>
      <c r="W243" s="8"/>
      <c r="X243" s="10"/>
      <c r="Y243" s="143">
        <v>21042</v>
      </c>
      <c r="Z243" s="8" t="s">
        <v>117</v>
      </c>
      <c r="AA243" s="5" t="s">
        <v>42</v>
      </c>
      <c r="AB243" s="5" t="s">
        <v>222</v>
      </c>
      <c r="AC243" s="12"/>
      <c r="AD243" s="5"/>
      <c r="AE243" s="8" t="s">
        <v>9</v>
      </c>
      <c r="AF243" s="11"/>
      <c r="AG243" s="5"/>
      <c r="AH243" s="8"/>
      <c r="AI243" s="8" t="s">
        <v>2</v>
      </c>
      <c r="AJ243" s="9" t="s">
        <v>1520</v>
      </c>
      <c r="AK243" s="11"/>
      <c r="AL243" s="9"/>
      <c r="AM243" s="9"/>
      <c r="AN243" s="11"/>
      <c r="AO243" s="38"/>
    </row>
    <row r="244" spans="1:41" x14ac:dyDescent="0.45">
      <c r="A244" s="35" t="s">
        <v>1451</v>
      </c>
      <c r="B244" s="6">
        <v>46082</v>
      </c>
      <c r="C244" s="7">
        <v>2026</v>
      </c>
      <c r="D244" s="5" t="s">
        <v>105</v>
      </c>
      <c r="E244" s="5" t="s">
        <v>25</v>
      </c>
      <c r="F244" s="5" t="s">
        <v>25</v>
      </c>
      <c r="G244" s="5" t="s">
        <v>1401</v>
      </c>
      <c r="H244" s="5" t="s">
        <v>9</v>
      </c>
      <c r="I244" s="140" t="s">
        <v>9</v>
      </c>
      <c r="J244" s="5" t="s">
        <v>1402</v>
      </c>
      <c r="K244" s="5" t="s">
        <v>1403</v>
      </c>
      <c r="L244" s="5" t="s">
        <v>1404</v>
      </c>
      <c r="M244" s="5" t="s">
        <v>1405</v>
      </c>
      <c r="N244" s="5" t="s">
        <v>112</v>
      </c>
      <c r="O244" s="8" t="s">
        <v>408</v>
      </c>
      <c r="P244" s="141" t="s">
        <v>112</v>
      </c>
      <c r="Q244" s="5" t="s">
        <v>1585</v>
      </c>
      <c r="R244" s="142" t="s">
        <v>1424</v>
      </c>
      <c r="S244" s="9" t="s">
        <v>1425</v>
      </c>
      <c r="T244" s="8" t="s">
        <v>112</v>
      </c>
      <c r="U244" s="8"/>
      <c r="V244" s="8" t="s">
        <v>112</v>
      </c>
      <c r="W244" s="8"/>
      <c r="X244" s="10"/>
      <c r="Y244" s="143">
        <v>16694</v>
      </c>
      <c r="Z244" s="8" t="s">
        <v>117</v>
      </c>
      <c r="AA244" s="5" t="s">
        <v>42</v>
      </c>
      <c r="AB244" s="5" t="s">
        <v>222</v>
      </c>
      <c r="AC244" s="12"/>
      <c r="AD244" s="5"/>
      <c r="AE244" s="8" t="s">
        <v>9</v>
      </c>
      <c r="AF244" s="11"/>
      <c r="AG244" s="5"/>
      <c r="AH244" s="8"/>
      <c r="AI244" s="8" t="s">
        <v>2</v>
      </c>
      <c r="AJ244" s="9" t="s">
        <v>1520</v>
      </c>
      <c r="AK244" s="11"/>
      <c r="AL244" s="9"/>
      <c r="AM244" s="9"/>
      <c r="AN244" s="11"/>
      <c r="AO244" s="38"/>
    </row>
    <row r="245" spans="1:41" x14ac:dyDescent="0.45">
      <c r="A245" s="35" t="s">
        <v>1452</v>
      </c>
      <c r="B245" s="6">
        <v>46082</v>
      </c>
      <c r="C245" s="7">
        <v>2026</v>
      </c>
      <c r="D245" s="5" t="s">
        <v>105</v>
      </c>
      <c r="E245" s="5" t="s">
        <v>25</v>
      </c>
      <c r="F245" s="5" t="s">
        <v>25</v>
      </c>
      <c r="G245" s="5" t="s">
        <v>1401</v>
      </c>
      <c r="H245" s="5" t="s">
        <v>9</v>
      </c>
      <c r="I245" s="140" t="s">
        <v>9</v>
      </c>
      <c r="J245" s="5" t="s">
        <v>1402</v>
      </c>
      <c r="K245" s="5" t="s">
        <v>1403</v>
      </c>
      <c r="L245" s="5" t="s">
        <v>1404</v>
      </c>
      <c r="M245" s="5" t="s">
        <v>1405</v>
      </c>
      <c r="N245" s="5" t="s">
        <v>112</v>
      </c>
      <c r="O245" s="8" t="s">
        <v>400</v>
      </c>
      <c r="P245" s="141" t="s">
        <v>112</v>
      </c>
      <c r="Q245" s="5" t="s">
        <v>1586</v>
      </c>
      <c r="R245" s="142" t="s">
        <v>1426</v>
      </c>
      <c r="S245" s="9" t="s">
        <v>1427</v>
      </c>
      <c r="T245" s="8" t="s">
        <v>112</v>
      </c>
      <c r="U245" s="8"/>
      <c r="V245" s="8" t="s">
        <v>112</v>
      </c>
      <c r="W245" s="8"/>
      <c r="X245" s="10"/>
      <c r="Y245" s="143">
        <v>18804</v>
      </c>
      <c r="Z245" s="8" t="s">
        <v>117</v>
      </c>
      <c r="AA245" s="5" t="s">
        <v>42</v>
      </c>
      <c r="AB245" s="5" t="s">
        <v>222</v>
      </c>
      <c r="AC245" s="12"/>
      <c r="AD245" s="5"/>
      <c r="AE245" s="8" t="s">
        <v>9</v>
      </c>
      <c r="AF245" s="11"/>
      <c r="AG245" s="5"/>
      <c r="AH245" s="8"/>
      <c r="AI245" s="8" t="s">
        <v>2</v>
      </c>
      <c r="AJ245" s="9" t="s">
        <v>1520</v>
      </c>
      <c r="AK245" s="11"/>
      <c r="AL245" s="9"/>
      <c r="AM245" s="9"/>
      <c r="AN245" s="11"/>
      <c r="AO245" s="38"/>
    </row>
    <row r="246" spans="1:41" x14ac:dyDescent="0.45">
      <c r="A246" s="35" t="s">
        <v>1453</v>
      </c>
      <c r="B246" s="6">
        <v>46082</v>
      </c>
      <c r="C246" s="7">
        <v>2026</v>
      </c>
      <c r="D246" s="5" t="s">
        <v>105</v>
      </c>
      <c r="E246" s="5" t="s">
        <v>25</v>
      </c>
      <c r="F246" s="5" t="s">
        <v>25</v>
      </c>
      <c r="G246" s="5" t="s">
        <v>1401</v>
      </c>
      <c r="H246" s="5" t="s">
        <v>9</v>
      </c>
      <c r="I246" s="140" t="s">
        <v>9</v>
      </c>
      <c r="J246" s="5" t="s">
        <v>1402</v>
      </c>
      <c r="K246" s="5" t="s">
        <v>1403</v>
      </c>
      <c r="L246" s="5" t="s">
        <v>1404</v>
      </c>
      <c r="M246" s="5" t="s">
        <v>1405</v>
      </c>
      <c r="N246" s="5" t="s">
        <v>112</v>
      </c>
      <c r="O246" s="8" t="s">
        <v>1428</v>
      </c>
      <c r="P246" s="141" t="s">
        <v>112</v>
      </c>
      <c r="Q246" s="5" t="s">
        <v>1587</v>
      </c>
      <c r="R246" s="142" t="s">
        <v>1429</v>
      </c>
      <c r="S246" s="9" t="s">
        <v>1430</v>
      </c>
      <c r="T246" s="8" t="s">
        <v>112</v>
      </c>
      <c r="U246" s="8"/>
      <c r="V246" s="8" t="s">
        <v>112</v>
      </c>
      <c r="W246" s="8"/>
      <c r="X246" s="10"/>
      <c r="Y246" s="143">
        <v>11519</v>
      </c>
      <c r="Z246" s="8" t="s">
        <v>117</v>
      </c>
      <c r="AA246" s="5" t="s">
        <v>42</v>
      </c>
      <c r="AB246" s="5" t="s">
        <v>222</v>
      </c>
      <c r="AC246" s="12"/>
      <c r="AD246" s="5"/>
      <c r="AE246" s="8" t="s">
        <v>9</v>
      </c>
      <c r="AF246" s="11"/>
      <c r="AG246" s="5"/>
      <c r="AH246" s="8"/>
      <c r="AI246" s="8" t="s">
        <v>2</v>
      </c>
      <c r="AJ246" s="9" t="s">
        <v>1520</v>
      </c>
      <c r="AK246" s="11"/>
      <c r="AL246" s="9"/>
      <c r="AM246" s="9"/>
      <c r="AN246" s="11"/>
      <c r="AO246" s="38"/>
    </row>
    <row r="247" spans="1:41" x14ac:dyDescent="0.45">
      <c r="A247" s="35" t="s">
        <v>1454</v>
      </c>
      <c r="B247" s="6">
        <v>46082</v>
      </c>
      <c r="C247" s="7">
        <v>2026</v>
      </c>
      <c r="D247" s="5" t="s">
        <v>105</v>
      </c>
      <c r="E247" s="5" t="s">
        <v>25</v>
      </c>
      <c r="F247" s="5" t="s">
        <v>25</v>
      </c>
      <c r="G247" s="5" t="s">
        <v>1401</v>
      </c>
      <c r="H247" s="5" t="s">
        <v>9</v>
      </c>
      <c r="I247" s="140" t="s">
        <v>9</v>
      </c>
      <c r="J247" s="5" t="s">
        <v>1402</v>
      </c>
      <c r="K247" s="5" t="s">
        <v>1403</v>
      </c>
      <c r="L247" s="5" t="s">
        <v>1404</v>
      </c>
      <c r="M247" s="5" t="s">
        <v>1405</v>
      </c>
      <c r="N247" s="5" t="s">
        <v>112</v>
      </c>
      <c r="O247" s="8" t="s">
        <v>142</v>
      </c>
      <c r="P247" s="141" t="s">
        <v>112</v>
      </c>
      <c r="Q247" s="5" t="s">
        <v>1588</v>
      </c>
      <c r="R247" s="142" t="s">
        <v>1431</v>
      </c>
      <c r="S247" s="9" t="s">
        <v>142</v>
      </c>
      <c r="T247" s="8" t="s">
        <v>112</v>
      </c>
      <c r="U247" s="8"/>
      <c r="V247" s="8" t="s">
        <v>112</v>
      </c>
      <c r="W247" s="8"/>
      <c r="X247" s="10"/>
      <c r="Y247" s="143">
        <v>14064</v>
      </c>
      <c r="Z247" s="8" t="s">
        <v>117</v>
      </c>
      <c r="AA247" s="5" t="s">
        <v>42</v>
      </c>
      <c r="AB247" s="5" t="s">
        <v>222</v>
      </c>
      <c r="AC247" s="12"/>
      <c r="AD247" s="5"/>
      <c r="AE247" s="8" t="s">
        <v>9</v>
      </c>
      <c r="AF247" s="11"/>
      <c r="AG247" s="5"/>
      <c r="AH247" s="8"/>
      <c r="AI247" s="8" t="s">
        <v>2</v>
      </c>
      <c r="AJ247" s="9" t="s">
        <v>1520</v>
      </c>
      <c r="AK247" s="11"/>
      <c r="AL247" s="9"/>
      <c r="AM247" s="9"/>
      <c r="AN247" s="11"/>
      <c r="AO247" s="38"/>
    </row>
    <row r="248" spans="1:41" x14ac:dyDescent="0.45">
      <c r="A248" s="35" t="s">
        <v>1455</v>
      </c>
      <c r="B248" s="6">
        <v>46082</v>
      </c>
      <c r="C248" s="7">
        <v>2026</v>
      </c>
      <c r="D248" s="5" t="s">
        <v>105</v>
      </c>
      <c r="E248" s="5" t="s">
        <v>25</v>
      </c>
      <c r="F248" s="5" t="s">
        <v>25</v>
      </c>
      <c r="G248" s="5" t="s">
        <v>1401</v>
      </c>
      <c r="H248" s="5" t="s">
        <v>9</v>
      </c>
      <c r="I248" s="140" t="s">
        <v>9</v>
      </c>
      <c r="J248" s="5" t="s">
        <v>1402</v>
      </c>
      <c r="K248" s="5" t="s">
        <v>1403</v>
      </c>
      <c r="L248" s="5" t="s">
        <v>1404</v>
      </c>
      <c r="M248" s="5" t="s">
        <v>1405</v>
      </c>
      <c r="N248" s="5" t="s">
        <v>112</v>
      </c>
      <c r="O248" s="8" t="s">
        <v>1432</v>
      </c>
      <c r="P248" s="141" t="s">
        <v>112</v>
      </c>
      <c r="Q248" s="5" t="s">
        <v>1589</v>
      </c>
      <c r="R248" s="142" t="s">
        <v>1433</v>
      </c>
      <c r="S248" s="9" t="s">
        <v>1434</v>
      </c>
      <c r="T248" s="8" t="s">
        <v>112</v>
      </c>
      <c r="U248" s="8"/>
      <c r="V248" s="8" t="s">
        <v>112</v>
      </c>
      <c r="W248" s="8"/>
      <c r="X248" s="10"/>
      <c r="Y248" s="143">
        <v>19659</v>
      </c>
      <c r="Z248" s="8" t="s">
        <v>117</v>
      </c>
      <c r="AA248" s="5" t="s">
        <v>42</v>
      </c>
      <c r="AB248" s="5" t="s">
        <v>222</v>
      </c>
      <c r="AC248" s="12"/>
      <c r="AD248" s="5"/>
      <c r="AE248" s="8" t="s">
        <v>9</v>
      </c>
      <c r="AF248" s="11"/>
      <c r="AG248" s="5"/>
      <c r="AH248" s="8"/>
      <c r="AI248" s="8" t="s">
        <v>2</v>
      </c>
      <c r="AJ248" s="9" t="s">
        <v>1520</v>
      </c>
      <c r="AK248" s="11"/>
      <c r="AL248" s="9"/>
      <c r="AM248" s="9"/>
      <c r="AN248" s="11"/>
      <c r="AO248" s="38"/>
    </row>
    <row r="249" spans="1:41" x14ac:dyDescent="0.45">
      <c r="A249" s="35" t="s">
        <v>1456</v>
      </c>
      <c r="B249" s="6">
        <v>46082</v>
      </c>
      <c r="C249" s="7">
        <v>2026</v>
      </c>
      <c r="D249" s="5" t="s">
        <v>105</v>
      </c>
      <c r="E249" s="5" t="s">
        <v>25</v>
      </c>
      <c r="F249" s="5" t="s">
        <v>25</v>
      </c>
      <c r="G249" s="5" t="s">
        <v>1401</v>
      </c>
      <c r="H249" s="5" t="s">
        <v>9</v>
      </c>
      <c r="I249" s="140" t="s">
        <v>9</v>
      </c>
      <c r="J249" s="5" t="s">
        <v>1402</v>
      </c>
      <c r="K249" s="5" t="s">
        <v>1403</v>
      </c>
      <c r="L249" s="5" t="s">
        <v>1404</v>
      </c>
      <c r="M249" s="5" t="s">
        <v>1405</v>
      </c>
      <c r="N249" s="5" t="s">
        <v>112</v>
      </c>
      <c r="O249" s="8" t="s">
        <v>770</v>
      </c>
      <c r="P249" s="141" t="s">
        <v>112</v>
      </c>
      <c r="Q249" s="5" t="s">
        <v>1435</v>
      </c>
      <c r="R249" s="142" t="s">
        <v>1436</v>
      </c>
      <c r="S249" s="9" t="s">
        <v>1508</v>
      </c>
      <c r="T249" s="8">
        <v>0.67</v>
      </c>
      <c r="U249" s="8" t="s">
        <v>116</v>
      </c>
      <c r="V249" s="8">
        <v>0.67</v>
      </c>
      <c r="W249" s="8"/>
      <c r="X249" s="10"/>
      <c r="Y249" s="143">
        <v>17565</v>
      </c>
      <c r="Z249" s="8" t="s">
        <v>117</v>
      </c>
      <c r="AA249" s="5" t="s">
        <v>42</v>
      </c>
      <c r="AB249" s="5" t="s">
        <v>222</v>
      </c>
      <c r="AC249" s="12"/>
      <c r="AD249" s="5"/>
      <c r="AE249" s="8" t="s">
        <v>9</v>
      </c>
      <c r="AF249" s="11"/>
      <c r="AG249" s="5"/>
      <c r="AH249" s="8"/>
      <c r="AI249" s="8" t="s">
        <v>2</v>
      </c>
      <c r="AJ249" s="9" t="s">
        <v>1520</v>
      </c>
      <c r="AK249" s="11"/>
      <c r="AL249" s="9"/>
      <c r="AM249" s="9"/>
      <c r="AN249" s="11"/>
      <c r="AO249" s="38"/>
    </row>
    <row r="250" spans="1:41" x14ac:dyDescent="0.45">
      <c r="A250" s="35" t="s">
        <v>1457</v>
      </c>
      <c r="B250" s="6">
        <v>46082</v>
      </c>
      <c r="C250" s="7">
        <v>2026</v>
      </c>
      <c r="D250" s="5" t="s">
        <v>105</v>
      </c>
      <c r="E250" s="5" t="s">
        <v>25</v>
      </c>
      <c r="F250" s="5" t="s">
        <v>25</v>
      </c>
      <c r="G250" s="5" t="s">
        <v>1401</v>
      </c>
      <c r="H250" s="5" t="s">
        <v>9</v>
      </c>
      <c r="I250" s="140" t="s">
        <v>9</v>
      </c>
      <c r="J250" s="5" t="s">
        <v>1402</v>
      </c>
      <c r="K250" s="5" t="s">
        <v>1403</v>
      </c>
      <c r="L250" s="5" t="s">
        <v>1404</v>
      </c>
      <c r="M250" s="5" t="s">
        <v>1405</v>
      </c>
      <c r="N250" s="5" t="s">
        <v>112</v>
      </c>
      <c r="O250" s="8" t="s">
        <v>770</v>
      </c>
      <c r="P250" s="141" t="s">
        <v>112</v>
      </c>
      <c r="Q250" s="5" t="s">
        <v>1590</v>
      </c>
      <c r="R250" s="142" t="s">
        <v>1591</v>
      </c>
      <c r="S250" s="9" t="s">
        <v>1509</v>
      </c>
      <c r="T250" s="8">
        <v>0.34</v>
      </c>
      <c r="U250" s="8" t="s">
        <v>116</v>
      </c>
      <c r="V250" s="8">
        <v>0.34</v>
      </c>
      <c r="W250" s="8"/>
      <c r="X250" s="10"/>
      <c r="Y250" s="143">
        <v>13752</v>
      </c>
      <c r="Z250" s="8" t="s">
        <v>117</v>
      </c>
      <c r="AA250" s="5" t="s">
        <v>42</v>
      </c>
      <c r="AB250" s="5" t="s">
        <v>222</v>
      </c>
      <c r="AC250" s="12"/>
      <c r="AD250" s="5"/>
      <c r="AE250" s="8" t="s">
        <v>9</v>
      </c>
      <c r="AF250" s="11"/>
      <c r="AG250" s="5"/>
      <c r="AH250" s="8"/>
      <c r="AI250" s="8" t="s">
        <v>2</v>
      </c>
      <c r="AJ250" s="9" t="s">
        <v>1520</v>
      </c>
      <c r="AK250" s="11"/>
      <c r="AL250" s="9"/>
      <c r="AM250" s="9"/>
      <c r="AN250" s="11"/>
      <c r="AO250" s="38"/>
    </row>
    <row r="251" spans="1:41" x14ac:dyDescent="0.45">
      <c r="A251" s="35" t="s">
        <v>1458</v>
      </c>
      <c r="B251" s="6">
        <v>46082</v>
      </c>
      <c r="C251" s="7">
        <v>2026</v>
      </c>
      <c r="D251" s="5" t="s">
        <v>105</v>
      </c>
      <c r="E251" s="63" t="s">
        <v>24</v>
      </c>
      <c r="F251" s="5" t="s">
        <v>1437</v>
      </c>
      <c r="G251" s="5" t="s">
        <v>1437</v>
      </c>
      <c r="H251" s="5" t="s">
        <v>9</v>
      </c>
      <c r="I251" s="140" t="s">
        <v>9</v>
      </c>
      <c r="J251" s="5" t="s">
        <v>1438</v>
      </c>
      <c r="K251" s="5" t="s">
        <v>1439</v>
      </c>
      <c r="L251" s="5" t="s">
        <v>109</v>
      </c>
      <c r="M251" s="5" t="s">
        <v>1440</v>
      </c>
      <c r="N251" s="5"/>
      <c r="O251" s="8" t="s">
        <v>112</v>
      </c>
      <c r="P251" s="141" t="s">
        <v>112</v>
      </c>
      <c r="Q251" s="5" t="s">
        <v>1592</v>
      </c>
      <c r="R251" s="142" t="s">
        <v>1441</v>
      </c>
      <c r="S251" s="9" t="s">
        <v>1510</v>
      </c>
      <c r="T251" s="8">
        <v>0.46</v>
      </c>
      <c r="U251" s="8" t="s">
        <v>116</v>
      </c>
      <c r="V251" s="8">
        <v>0.46</v>
      </c>
      <c r="W251" s="8"/>
      <c r="X251" s="10"/>
      <c r="Y251" s="143">
        <v>100000</v>
      </c>
      <c r="Z251" s="8" t="s">
        <v>117</v>
      </c>
      <c r="AA251" s="5" t="s">
        <v>53</v>
      </c>
      <c r="AB251" s="5"/>
      <c r="AC251" s="12"/>
      <c r="AD251" s="5"/>
      <c r="AE251" s="8" t="s">
        <v>9</v>
      </c>
      <c r="AF251" s="11"/>
      <c r="AG251" s="5"/>
      <c r="AH251" s="8"/>
      <c r="AI251" s="8" t="s">
        <v>2</v>
      </c>
      <c r="AJ251" s="9" t="s">
        <v>1520</v>
      </c>
      <c r="AK251" s="11"/>
      <c r="AL251" s="9"/>
      <c r="AM251" s="9"/>
      <c r="AN251" s="11"/>
      <c r="AO251" s="38"/>
    </row>
    <row r="252" spans="1:41" x14ac:dyDescent="0.45">
      <c r="A252" s="35" t="s">
        <v>1459</v>
      </c>
      <c r="B252" s="61">
        <v>46082</v>
      </c>
      <c r="C252" s="62">
        <v>2026</v>
      </c>
      <c r="D252" s="63" t="s">
        <v>105</v>
      </c>
      <c r="E252" s="63" t="s">
        <v>24</v>
      </c>
      <c r="F252" s="5" t="s">
        <v>1437</v>
      </c>
      <c r="G252" s="63" t="s">
        <v>1437</v>
      </c>
      <c r="H252" s="63" t="s">
        <v>9</v>
      </c>
      <c r="I252" s="140" t="s">
        <v>9</v>
      </c>
      <c r="J252" s="63" t="s">
        <v>1438</v>
      </c>
      <c r="K252" s="63" t="s">
        <v>1439</v>
      </c>
      <c r="L252" s="63" t="s">
        <v>109</v>
      </c>
      <c r="M252" s="63" t="s">
        <v>1440</v>
      </c>
      <c r="N252" s="63"/>
      <c r="O252" s="64" t="s">
        <v>112</v>
      </c>
      <c r="P252" s="141" t="s">
        <v>112</v>
      </c>
      <c r="Q252" s="63" t="s">
        <v>1593</v>
      </c>
      <c r="R252" s="144" t="s">
        <v>1442</v>
      </c>
      <c r="S252" s="65" t="s">
        <v>1510</v>
      </c>
      <c r="T252" s="64" t="s">
        <v>112</v>
      </c>
      <c r="U252" s="64"/>
      <c r="V252" s="64" t="s">
        <v>112</v>
      </c>
      <c r="W252" s="64"/>
      <c r="X252" s="66"/>
      <c r="Y252" s="145">
        <v>1000</v>
      </c>
      <c r="Z252" s="8" t="s">
        <v>117</v>
      </c>
      <c r="AA252" s="5" t="s">
        <v>53</v>
      </c>
      <c r="AB252" s="63"/>
      <c r="AC252" s="67"/>
      <c r="AD252" s="63"/>
      <c r="AE252" s="64" t="s">
        <v>9</v>
      </c>
      <c r="AF252" s="68"/>
      <c r="AG252" s="63"/>
      <c r="AH252" s="64"/>
      <c r="AI252" s="64" t="s">
        <v>2</v>
      </c>
      <c r="AJ252" s="9" t="s">
        <v>1520</v>
      </c>
      <c r="AK252" s="68"/>
      <c r="AL252" s="65"/>
      <c r="AM252" s="65"/>
      <c r="AN252" s="68"/>
      <c r="AO252" s="69"/>
    </row>
  </sheetData>
  <phoneticPr fontId="2" type="noConversion"/>
  <conditionalFormatting sqref="R253:R1048576 R1:R158">
    <cfRule type="duplicateValues" dxfId="50" priority="4"/>
  </conditionalFormatting>
  <conditionalFormatting sqref="R87:R139">
    <cfRule type="duplicateValues" dxfId="49" priority="8"/>
  </conditionalFormatting>
  <conditionalFormatting sqref="R1:R1048576">
    <cfRule type="duplicateValues" dxfId="48" priority="2"/>
  </conditionalFormatting>
  <conditionalFormatting sqref="R159:R235">
    <cfRule type="duplicateValues" dxfId="47" priority="25"/>
  </conditionalFormatting>
  <hyperlinks>
    <hyperlink ref="AC2" r:id="rId1" xr:uid="{94348EF4-9819-497D-A8B6-64851F434984}"/>
    <hyperlink ref="AC2:AC17" r:id="rId2" display="Slide 3" xr:uid="{7E15A4B5-C365-40C8-BF9A-F91A82232447}"/>
    <hyperlink ref="K198" r:id="rId3" display="https://digking.en.alibaba.com/index.html" xr:uid="{D03561AE-3AB0-454F-9B64-AAD2E78A0FE7}"/>
    <hyperlink ref="K210" r:id="rId4" display="https://biguangtech.en.alibaba.com/index.html" xr:uid="{987535D0-F06A-4F48-95A7-50493F327775}"/>
    <hyperlink ref="Q15" r:id="rId5" xr:uid="{CCCA5C1D-0F77-45C4-958D-134FDFF454FE}"/>
    <hyperlink ref="Q214" r:id="rId6" xr:uid="{762B15E6-9B1C-4760-824D-819B3CDC4B46}"/>
    <hyperlink ref="Q192" r:id="rId7" xr:uid="{C88684CF-69DB-4AEB-87CC-B091B276B724}"/>
    <hyperlink ref="Q198" r:id="rId8" xr:uid="{482FE40F-CD13-4BE4-8F5C-CF61BF0937A7}"/>
    <hyperlink ref="Q203" r:id="rId9" xr:uid="{B19DA49F-A085-43E9-8515-0D3B8C18BB8A}"/>
    <hyperlink ref="Q140" r:id="rId10" xr:uid="{4BE2C8EA-CC30-4DED-948F-CCB59611ABCA}"/>
  </hyperlinks>
  <pageMargins left="0.70866141732283472" right="0.70866141732283472" top="0.74803149606299213" bottom="0.74803149606299213" header="0.31496062992125984" footer="0.31496062992125984"/>
  <pageSetup orientation="portrait" r:id="rId11"/>
  <headerFooter>
    <oddHeader>&amp;LPre&amp;C&amp;F</oddHeader>
  </headerFooter>
  <legacyDrawing r:id="rId12"/>
  <tableParts count="1">
    <tablePart r:id="rId1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d458d4e6-c450-4e85-a4cf-a0c6e1cd5972">
      <Terms xmlns="http://schemas.microsoft.com/office/infopath/2007/PartnerControls"/>
    </lcf76f155ced4ddcb4097134ff3c332f>
    <TaxCatchAll xmlns="76a18676-0a14-4b71-a166-5faf2ef946a2"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2AC232EC0242FF4DB6D6E33C9C821C43" ma:contentTypeVersion="11" ma:contentTypeDescription="Create a new document." ma:contentTypeScope="" ma:versionID="35694bb34bb3f18d67acc352e8a8d2f4">
  <xsd:schema xmlns:xsd="http://www.w3.org/2001/XMLSchema" xmlns:xs="http://www.w3.org/2001/XMLSchema" xmlns:p="http://schemas.microsoft.com/office/2006/metadata/properties" xmlns:ns2="d458d4e6-c450-4e85-a4cf-a0c6e1cd5972" xmlns:ns3="76a18676-0a14-4b71-a166-5faf2ef946a2" targetNamespace="http://schemas.microsoft.com/office/2006/metadata/properties" ma:root="true" ma:fieldsID="5f64a258809bcf4106598659c0089d8f" ns2:_="" ns3:_="">
    <xsd:import namespace="d458d4e6-c450-4e85-a4cf-a0c6e1cd5972"/>
    <xsd:import namespace="76a18676-0a14-4b71-a166-5faf2ef946a2"/>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Location"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458d4e6-c450-4e85-a4cf-a0c6e1cd597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7704bc4-5cba-4c75-9e0e-c54b1afa1965" ma:termSetId="09814cd3-568e-fe90-9814-8d621ff8fb84" ma:anchorId="fba54fb3-c3e1-fe81-a776-ca4b69148c4d" ma:open="true" ma:isKeyword="false">
      <xsd:complexType>
        <xsd:sequence>
          <xsd:element ref="pc:Terms" minOccurs="0" maxOccurs="1"/>
        </xsd:sequence>
      </xsd:complexType>
    </xsd:element>
    <xsd:element name="MediaServiceLocation" ma:index="15" nillable="true" ma:displayName="Location" ma:indexed="true" ma:internalName="MediaServiceLocatio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6a18676-0a14-4b71-a166-5faf2ef946a2"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400b07ea-82d9-4af1-8c11-b6a9157f6544}" ma:internalName="TaxCatchAll" ma:showField="CatchAllData" ma:web="76a18676-0a14-4b71-a166-5faf2ef946a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988D515-B358-4DBF-BA39-C8C97F00611C}">
  <ds:schemaRefs>
    <ds:schemaRef ds:uri="http://purl.org/dc/elements/1.1/"/>
    <ds:schemaRef ds:uri="76a18676-0a14-4b71-a166-5faf2ef946a2"/>
    <ds:schemaRef ds:uri="http://purl.org/dc/terms/"/>
    <ds:schemaRef ds:uri="http://schemas.microsoft.com/office/2006/documentManagement/types"/>
    <ds:schemaRef ds:uri="http://purl.org/dc/dcmitype/"/>
    <ds:schemaRef ds:uri="http://schemas.microsoft.com/office/2006/metadata/properties"/>
    <ds:schemaRef ds:uri="d458d4e6-c450-4e85-a4cf-a0c6e1cd5972"/>
    <ds:schemaRef ds:uri="http://schemas.microsoft.com/office/infopath/2007/PartnerControls"/>
    <ds:schemaRef ds:uri="http://schemas.openxmlformats.org/package/2006/metadata/core-properties"/>
    <ds:schemaRef ds:uri="http://www.w3.org/XML/1998/namespace"/>
  </ds:schemaRefs>
</ds:datastoreItem>
</file>

<file path=customXml/itemProps2.xml><?xml version="1.0" encoding="utf-8"?>
<ds:datastoreItem xmlns:ds="http://schemas.openxmlformats.org/officeDocument/2006/customXml" ds:itemID="{E184B4FD-5789-41CC-9D4C-95C5C8AC550C}">
  <ds:schemaRefs>
    <ds:schemaRef ds:uri="http://schemas.microsoft.com/sharepoint/v3/contenttype/forms"/>
  </ds:schemaRefs>
</ds:datastoreItem>
</file>

<file path=customXml/itemProps3.xml><?xml version="1.0" encoding="utf-8"?>
<ds:datastoreItem xmlns:ds="http://schemas.openxmlformats.org/officeDocument/2006/customXml" ds:itemID="{28C7BDAD-9B02-4DCE-94CB-D4919D1C26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458d4e6-c450-4e85-a4cf-a0c6e1cd5972"/>
    <ds:schemaRef ds:uri="76a18676-0a14-4b71-a166-5faf2ef946a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Tables</vt:lpstr>
      <vt:lpstr>Graphs</vt:lpstr>
      <vt:lpstr>Tracker Sheet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Yogesh Kumar</dc:creator>
  <cp:keywords/>
  <dc:description/>
  <cp:lastModifiedBy>Yogesh Rajput</cp:lastModifiedBy>
  <cp:revision/>
  <dcterms:created xsi:type="dcterms:W3CDTF">2025-09-17T05:21:18Z</dcterms:created>
  <dcterms:modified xsi:type="dcterms:W3CDTF">2026-07-19T07:28:41Z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0x0101002AC232EC0242FF4DB6D6E33C9C821C43</vt:lpwstr>
  </property>
  <property fmtid="{D5CDD505-2E9C-101B-9397-08002B2CF9AE}" pid="3" name="MediaServiceImageTags">
    <vt:lpwstr/>
  </property>
</Properties>
</file>